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терфейс и функции" sheetId="1" state="visible" r:id="rId3"/>
    <sheet name="Планерка 16.07 ↔ код" sheetId="2" state="visible" r:id="rId4"/>
    <sheet name="Резюме и эксперты" sheetId="3" state="visible" r:id="rId5"/>
    <sheet name="Витринные карточки" sheetId="4" state="visible" r:id="rId6"/>
    <sheet name="Сводка счётчиков" sheetId="5" state="visible" r:id="rId7"/>
  </sheets>
  <definedNames>
    <definedName function="false" hidden="true" localSheetId="0" name="_xlnm._FilterDatabase" vbProcedure="false">'Интерфейс и функции'!$A$4:$I$48</definedName>
    <definedName function="false" hidden="true" localSheetId="1" name="_xlnm._FilterDatabase" vbProcedure="false">'Планерка 16.07 ↔ код'!$A$4:$E$18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<sst xmlns="http://schemas.openxmlformats.org/spreadsheetml/2006/main" count="572" uniqueCount="422">
  <si>
    <t xml:space="preserve">CRAFT_map — описание интерфейса и функций (по факту реализации + планерка 16.07.2026)</t>
  </si>
  <si>
    <t xml:space="preserve">Источник истины: репозиторий CRAFT_map (Next.js / MapLibre / PostGIS). Планерка 16.07.2026 (Юлия Г., Иван Гришанов) — целевой контекст гранта. Режим: Grok Build + группа экспертов (16). Ничего не выдумано сверх кода и стенограммы.</t>
  </si>
  <si>
    <t xml:space="preserve">Раздел / Модуль</t>
  </si>
  <si>
    <t xml:space="preserve">Функция</t>
  </si>
  <si>
    <t xml:space="preserve">Подробное описание</t>
  </si>
  <si>
    <t xml:space="preserve">User Flow (как это работает для пользователя)</t>
  </si>
  <si>
    <t xml:space="preserve">Технические замечания / что нужно реализовать</t>
  </si>
  <si>
    <t xml:space="preserve">Приоритет</t>
  </si>
  <si>
    <t xml:space="preserve">Связь с геймификацией / вовлечением молодёжи</t>
  </si>
  <si>
    <t xml:space="preserve">Целевая аудитория</t>
  </si>
  <si>
    <t xml:space="preserve">Статус в CRAFT_map</t>
  </si>
  <si>
    <t xml:space="preserve">1. Публичная карта</t>
  </si>
  <si>
    <t xml:space="preserve">Полноэкранная интерактивная карта Тюмени</t>
  </si>
  <si>
    <t xml:space="preserve">Главный экран — карта города с памятными объектами четырёх категорий Указа Президента № 809: Патриотизм, Историческая память, Достоинство, Преемственность поколений. Подложка MapLibre (PMTiles self-hosted или OSM raster в dev), кириллические подписи улиц (Noto Sans glyphs), границы округов, цветные круглые маркеры.</t>
  </si>
  <si>
    <t xml:space="preserve">Открывает сайт → карта на весь экран → двигает/зумит → видит маркеры и округа → кликает маркер.</t>
  </si>
  <si>
    <t xml:space="preserve">MapLibre GL JS, PMTiles + map-style.json, URL-state камеры. Прод: nginx Range, self-hosted glyphs. Без Mapbox/Google.</t>
  </si>
  <si>
    <t xml:space="preserve">Высокий</t>
  </si>
  <si>
    <t xml:space="preserve">Карта как сцена для будущих маршрутов/чекинов/квестов.</t>
  </si>
  <si>
    <t xml:space="preserve">Жители Тюмени, туристы, школьники/студенты, НКО, грантодатели</t>
  </si>
  <si>
    <t xml:space="preserve">Реализовано</t>
  </si>
  <si>
    <t xml:space="preserve">Кластеризация маркеров</t>
  </si>
  <si>
    <t xml:space="preserve">При отдалении точки группируются в кластеры; клик — zoom/раскрытие.</t>
  </si>
  <si>
    <t xml:space="preserve">Отдаляет карту → видит кластеры → тапает → приближение → отдельные памятники.</t>
  </si>
  <si>
    <t xml:space="preserve">cluster: true в GeoJSON source MapLibre (MapView).</t>
  </si>
  <si>
    <t xml:space="preserve">Снижает шум; помогает обзору «коллекции» в районе.</t>
  </si>
  <si>
    <t xml:space="preserve">Все пользователи, особенно mobile</t>
  </si>
  <si>
    <t xml:space="preserve">Навигация режимов: Карта / Список / Мероприятия</t>
  </si>
  <si>
    <t xml:space="preserve">Единый MapModeNav: три раздела публичного UI без ухода с главной.</t>
  </si>
  <si>
    <t xml:space="preserve">Выбирает «Карта», «Список» или «Мероприятия» → переключается контент.</t>
  </si>
  <si>
    <t xml:space="preserve">MapModeNav.tsx + MapApp.tsx</t>
  </si>
  <si>
    <t xml:space="preserve">Понятная структура снижает порог входа.</t>
  </si>
  <si>
    <t xml:space="preserve">Все ЦА</t>
  </si>
  <si>
    <t xml:space="preserve">Фильтры категорий (чипы)</t>
  </si>
  <si>
    <t xml:space="preserve">Чипы: все / Патриотизм / Историческая память / Достоинство / Преемственность. Активный округ сбрасывается отдельно.</t>
  </si>
  <si>
    <t xml:space="preserve">Тап по чипу → фильтр на карте и в списке.</t>
  </si>
  <si>
    <t xml:space="preserve">CategoryChips.tsx; seed categories. Фильтра «по профессиям» нет.</t>
  </si>
  <si>
    <t xml:space="preserve">Быстрый тематический просмотр.</t>
  </si>
  <si>
    <t xml:space="preserve">Жители, образовательные группы, туристы</t>
  </si>
  <si>
    <t xml:space="preserve">Границы и выбор округа</t>
  </si>
  <si>
    <t xml:space="preserve">Полигоны округов; поиск округа → fitBounds; district_id через ST_Contains.</t>
  </si>
  <si>
    <t xml:space="preserve">Вводит округ → карта подстраивается → объекты по округу.</t>
  </si>
  <si>
    <t xml:space="preserve">GET /api/districts; public-map-url.</t>
  </si>
  <si>
    <t xml:space="preserve">Локальная идентичность; база районных маршрутов.</t>
  </si>
  <si>
    <t xml:space="preserve">Жители округов, экскурсоводы</t>
  </si>
  <si>
    <t xml:space="preserve">Пульсация маркеров с мероприятием «сегодня»</t>
  </si>
  <si>
    <t xml:space="preserve">Объекты с событием на текущую дату (Asia/Yekaterinburg) пульсируют (hasEvent).</t>
  </si>
  <si>
    <t xml:space="preserve">В день события видит «живые» маркеры → карточка/афиша.</t>
  </si>
  <si>
    <t xml:space="preserve">events + soft-pulse UI.</t>
  </si>
  <si>
    <t xml:space="preserve">Средний</t>
  </si>
  <si>
    <t xml:space="preserve">Повод выйти в день акции.</t>
  </si>
  <si>
    <t xml:space="preserve">Участники мероприятий, молодёжь, семьи</t>
  </si>
  <si>
    <t xml:space="preserve">Герб / привязка к городу</t>
  </si>
  <si>
    <t xml:space="preserve">Визуальная привязка к Тюмени (public/gerb-tyumen.svg).</t>
  </si>
  <si>
    <t xml:space="preserve">Видит городскую символику на карте.</t>
  </si>
  <si>
    <t xml:space="preserve">Файл герба; ждали финальный от заказчика (11.07).</t>
  </si>
  <si>
    <t xml:space="preserve">Низкий</t>
  </si>
  <si>
    <t xml:space="preserve">Идентичность города.</t>
  </si>
  <si>
    <t xml:space="preserve">Все, презентация</t>
  </si>
  <si>
    <t xml:space="preserve">2. Поиск и навигация</t>
  </si>
  <si>
    <t xml:space="preserve">Умный поиск одной строкой</t>
  </si>
  <si>
    <t xml:space="preserve">Ищет памятник (название/адрес), категорию, округ. Автодополнение, стрелки+Enter, превью на карте.</t>
  </si>
  <si>
    <t xml:space="preserve">Печатает → подсказки → объект/категория/округ/«все по запросу».</t>
  </si>
  <si>
    <t xml:space="preserve">SearchBar.tsx, map-search.ts; recent searches localStorage (до 5).</t>
  </si>
  <si>
    <t xml:space="preserve">Быстрый доступ к контенту.</t>
  </si>
  <si>
    <t xml:space="preserve">Синхронизация состояния с URL</t>
  </si>
  <si>
    <t xml:space="preserve">Камера, объект, фильтры, режим — в URL для шаринга.</t>
  </si>
  <si>
    <t xml:space="preserve">Открывает shared-ссылку → то же место/объект.</t>
  </si>
  <si>
    <t xml:space="preserve">public-map-url.ts</t>
  </si>
  <si>
    <t xml:space="preserve">Социальный шеринг точки.</t>
  </si>
  <si>
    <t xml:space="preserve">Туристы, соцсети, СМИ</t>
  </si>
  <si>
    <t xml:space="preserve">3. Список и геолокация</t>
  </si>
  <si>
    <t xml:space="preserve">Список всех памятных мест</t>
  </si>
  <si>
    <t xml:space="preserve">Режим «Список»: превью, категория, адрес; учитывает фильтры карты/поиска.</t>
  </si>
  <si>
    <t xml:space="preserve">Тап «Список» → листает → открывает карточку.</t>
  </si>
  <si>
    <t xml:space="preserve">PlacesListPanel.tsx; mobile full-screen.</t>
  </si>
  <si>
    <t xml:space="preserve">Обзор коллекции без «брожения» по карте.</t>
  </si>
  <si>
    <t xml:space="preserve">Пользователи списка</t>
  </si>
  <si>
    <t xml:space="preserve">«Рядом со мной» (геолокация)</t>
  </si>
  <si>
    <t xml:space="preserve">navigator.geolocation → сортировка haversine → дистанция. Без регистрации.</t>
  </si>
  <si>
    <t xml:space="preserve">Список → «Рядом со мной» → разрешение → «Сначала ближайшие».</t>
  </si>
  <si>
    <t xml:space="preserve">geo.ts; timeout 10s. Desktop без GPS — большие дистанции нормальны.</t>
  </si>
  <si>
    <t xml:space="preserve">База полевых сценариев.</t>
  </si>
  <si>
    <t xml:space="preserve">Пешеходы, туристы, молодёжь</t>
  </si>
  <si>
    <t xml:space="preserve">Фильтры списка: Все / Избранное / Посещено</t>
  </si>
  <si>
    <t xml:space="preserve">Фильтр по локальным отметкам; счётчики.</t>
  </si>
  <si>
    <t xml:space="preserve">Отмечает → фильтрует избранное/посещённое.</t>
  </si>
  <si>
    <t xml:space="preserve">localStorage craft-map-place-progress.</t>
  </si>
  <si>
    <t xml:space="preserve">Лёгкий прогресс без ЛК.</t>
  </si>
  <si>
    <t xml:space="preserve">Постоянные пользователи, молодёжь</t>
  </si>
  <si>
    <t xml:space="preserve">4. Карточка памятника</t>
  </si>
  <si>
    <t xml:space="preserve">Боковая панель / bottom sheet</t>
  </si>
  <si>
    <t xml:space="preserve">ObjectCard: desktop панель справа, mobile modal bottom sheet (backdrop, swipe, focus trap, Escape).</t>
  </si>
  <si>
    <t xml:space="preserve">Клик по маркеру → панель → чтение → закрытие.</t>
  </si>
  <si>
    <t xml:space="preserve">ObjectCard.tsx; flyTo на карте.</t>
  </si>
  <si>
    <t xml:space="preserve">Центр контента: аудио, видео, события, отметки.</t>
  </si>
  <si>
    <t xml:space="preserve">Медиагалерея: фото + видео (+ 3D)</t>
  </si>
  <si>
    <t xml:space="preserve">Несколько фото и видео, lightbox; modelUrl .glb через ModelViewer; WebVTT captions.</t>
  </si>
  <si>
    <t xml:space="preserve">Листает медиа / 3D при наличии.</t>
  </si>
  <si>
    <t xml:space="preserve">ObjectMediaGallery; upload photo/video/model; sharp.</t>
  </si>
  <si>
    <t xml:space="preserve">Видео близко молодёжи.</t>
  </si>
  <si>
    <t xml:space="preserve">Туристы, молодёжь, СМИ</t>
  </si>
  <si>
    <t xml:space="preserve">Аудиогид + текстовая версия</t>
  </si>
  <si>
    <t xml:space="preserve">«Слушать», плеер (прогресс, 0.75–1.5x, skip); текст; прогресс в localStorage; lazy load audio.</t>
  </si>
  <si>
    <t xml:space="preserve">Слушает / читает → продолжает с места.</t>
  </si>
  <si>
    <t xml:space="preserve">AudioGuide.tsx; админка upload + SpeechKit.</t>
  </si>
  <si>
    <t xml:space="preserve">Образовательный канал; связка с будущим QR.</t>
  </si>
  <si>
    <t xml:space="preserve">Туристы, доступность, молодёжь</t>
  </si>
  <si>
    <t xml:space="preserve">Описание и секции</t>
  </si>
  <si>
    <t xml:space="preserve">description + секции title/text (Архитектура, История…).</t>
  </si>
  <si>
    <t xml:space="preserve">Читает блоки текста.</t>
  </si>
  <si>
    <t xml:space="preserve">ObjectSections; sections jsonb; SectionsEditor.</t>
  </si>
  <si>
    <t xml:space="preserve">База знаний для викторин (позже).</t>
  </si>
  <si>
    <t xml:space="preserve">Образование, краеведы</t>
  </si>
  <si>
    <t xml:space="preserve">Рейтинг (звёзды)</t>
  </si>
  <si>
    <t xml:space="preserve">0–5 шаг 0.1, задаётся в админке. Пользовательских оценок/отзывов нет.</t>
  </si>
  <si>
    <t xml:space="preserve">Видит звёзды, если проставлены редакцией.</t>
  </si>
  <si>
    <t xml:space="preserve">objects.rating. Открытый вопрос с 11.07.</t>
  </si>
  <si>
    <t xml:space="preserve">Соцдоказательство; UGC — отдельное решение.</t>
  </si>
  <si>
    <t xml:space="preserve">Все</t>
  </si>
  <si>
    <t xml:space="preserve">Частично</t>
  </si>
  <si>
    <t xml:space="preserve">Маршрут в Яндекс.Картах</t>
  </si>
  <si>
    <t xml:space="preserve">Ссылка yandex.ru/maps/?rtext=~lat,lng. Своего роутинга нет.</t>
  </si>
  <si>
    <t xml:space="preserve">Тап «Построить маршрут» → Яндекс.</t>
  </si>
  <si>
    <t xml:space="preserve">Внешняя ссылка.</t>
  </si>
  <si>
    <t xml:space="preserve">Переводит «в ноги».</t>
  </si>
  <si>
    <t xml:space="preserve">Туристы, горожане</t>
  </si>
  <si>
    <t xml:space="preserve">Поделиться объектом</t>
  </si>
  <si>
    <t xml:space="preserve">Web Share API или copy /object/[id].</t>
  </si>
  <si>
    <t xml:space="preserve">Share → мессенджер или «Скопировано».</t>
  </si>
  <si>
    <t xml:space="preserve">ObjectCard.shareObject</t>
  </si>
  <si>
    <t xml:space="preserve">Виральность.</t>
  </si>
  <si>
    <t xml:space="preserve">Молодёжь, туристы</t>
  </si>
  <si>
    <t xml:space="preserve">SEO-страница /object/[id]</t>
  </si>
  <si>
    <t xml:space="preserve">SSR + OG для шаринга и поисковиков; endpoint для QR.</t>
  </si>
  <si>
    <t xml:space="preserve">Прямая ссылка → полный контент.</t>
  </si>
  <si>
    <t xml:space="preserve">object/[id]; sitemap. QR в ПО не генерируется.</t>
  </si>
  <si>
    <t xml:space="preserve">Готовый deep link для QR-пилота.</t>
  </si>
  <si>
    <t xml:space="preserve">Все, SEO</t>
  </si>
  <si>
    <t xml:space="preserve">5. Мероприятия</t>
  </si>
  <si>
    <t xml:space="preserve">Афиша мероприятий</t>
  </si>
  <si>
    <t xml:space="preserve">Текущие/будущие события; фильтры Все/Сегодня/Выходные/Месяц; поиск; статусы.</t>
  </si>
  <si>
    <t xml:space="preserve">Мероприятия → фильтр → На карте / Подробнее / Календарь / Регистрация / Share.</t>
  </si>
  <si>
    <t xml:space="preserve">EventsPanel; GET /api/events; ручной ввод.</t>
  </si>
  <si>
    <t xml:space="preserve">Поводы для выхода.</t>
  </si>
  <si>
    <t xml:space="preserve">Участники, семьи, молодёжь, НКО</t>
  </si>
  <si>
    <t xml:space="preserve">Карточка /event/[id] + iCal</t>
  </si>
  <si>
    <t xml:space="preserve">Страница события; ICS /api/events/[id]/calendar.</t>
  </si>
  <si>
    <t xml:space="preserve">Добавляет в календарь; внешняя регистрация.</t>
  </si>
  <si>
    <t xml:space="preserve">ical.ts; venue, organizer, price, accessibility.</t>
  </si>
  <si>
    <t xml:space="preserve">Полезность &gt; информирование.</t>
  </si>
  <si>
    <t xml:space="preserve">Участники</t>
  </si>
  <si>
    <t xml:space="preserve">События в карточке памятника</t>
  </si>
  <si>
    <t xml:space="preserve">Сегодня выделены; ближайшие списком; ссылки.</t>
  </si>
  <si>
    <t xml:space="preserve">Открыл памятник → видит, что здесь сегодня.</t>
  </si>
  <si>
    <t xml:space="preserve">ObjectCard events; isToday.</t>
  </si>
  <si>
    <t xml:space="preserve">Место + действие.</t>
  </si>
  <si>
    <t xml:space="preserve">6. Личные отметки (без регистрации)</t>
  </si>
  <si>
    <t xml:space="preserve">Избранное и «Посещено»</t>
  </si>
  <si>
    <t xml:space="preserve">♥ и ✓ только в браузере; без синка устройств. Не полноценный ЛК.</t>
  </si>
  <si>
    <t xml:space="preserve">Отмечает → фильтрует в списке.</t>
  </si>
  <si>
    <t xml:space="preserve">place-progress.ts; до 5000 id.</t>
  </si>
  <si>
    <t xml:space="preserve">Минимальный прогресс; задел под квесты.</t>
  </si>
  <si>
    <t xml:space="preserve">Личный кабинет с регистрацией</t>
  </si>
  <si>
    <t xml:space="preserve">Планерка 16.07: регистрация, маршруты, чекины, бонусы. В коде — нет публичных аккаунтов; Auth только /admin.</t>
  </si>
  <si>
    <t xml:space="preserve">Карта без входа; админ — /admin/login.</t>
  </si>
  <si>
    <t xml:space="preserve">Не реализовано. Нужны auth/ПДн/бонусы.</t>
  </si>
  <si>
    <t xml:space="preserve">Нужен для призов и прогресса между устройствами.</t>
  </si>
  <si>
    <t xml:space="preserve">Молодёжь 20–35</t>
  </si>
  <si>
    <t xml:space="preserve">Не реализовано</t>
  </si>
  <si>
    <t xml:space="preserve">7. Поддержка реставрации и обратная связь</t>
  </si>
  <si>
    <t xml:space="preserve">Кнопка «Поддержать реставрацию»</t>
  </si>
  <si>
    <t xml:space="preserve">Показывается при NEXT_PUBLIC_DONATION_URL; иначе скрыта.</t>
  </si>
  <si>
    <t xml:space="preserve">Тап → внешняя страница фонда/оплаты.</t>
  </si>
  <si>
    <t xml:space="preserve">Нет per-object «собрано/нужно».</t>
  </si>
  <si>
    <t xml:space="preserve">Гражданское участие.</t>
  </si>
  <si>
    <t xml:space="preserve">Жертвователи, НКО</t>
  </si>
  <si>
    <t xml:space="preserve">Сообщить об ошибке</t>
  </si>
  <si>
    <t xml:space="preserve">ReportIssue: текст + контакт → reports → модерация admin.</t>
  </si>
  <si>
    <t xml:space="preserve">Отправляет сообщение о проблеме.</t>
  </si>
  <si>
    <t xml:space="preserve">POST /api/reports. Не «новый памятник».</t>
  </si>
  <si>
    <t xml:space="preserve">Крауд-качество данных.</t>
  </si>
  <si>
    <t xml:space="preserve">Активисты, краеведы</t>
  </si>
  <si>
    <t xml:space="preserve">Предложить новый памятник / инициативу</t>
  </si>
  <si>
    <t xml:space="preserve">Планерка 16.07: предложить доску/памятник. Отдельной формы нет.</t>
  </si>
  <si>
    <t xml:space="preserve">Штатно подать новый объект нельзя.</t>
  </si>
  <si>
    <t xml:space="preserve">Бэклог: форма + модерация.</t>
  </si>
  <si>
    <t xml:space="preserve">Гражданские инициативы.</t>
  </si>
  <si>
    <t xml:space="preserve">Профсообщества, жители</t>
  </si>
  <si>
    <t xml:space="preserve">Прозрачный сбор (прогресс/отчёты)</t>
  </si>
  <si>
    <t xml:space="preserve">Планерка: собрано X / нужно Y. В продукте нет.</t>
  </si>
  <si>
    <t xml:space="preserve">UI прогресса сборов нет.</t>
  </si>
  <si>
    <t xml:space="preserve">Нужны юрлицо, реквизиты, campaigns.</t>
  </si>
  <si>
    <t xml:space="preserve">Доверие доноров.</t>
  </si>
  <si>
    <t xml:space="preserve">Доноры, НКО</t>
  </si>
  <si>
    <t xml:space="preserve">8. SEO, шаринг, PWA</t>
  </si>
  <si>
    <t xml:space="preserve">PWA / offline</t>
  </si>
  <si>
    <t xml:space="preserve">SW, manifest, /offline.</t>
  </si>
  <si>
    <t xml:space="preserve">Offline-страница; installability браузера.</t>
  </si>
  <si>
    <t xml:space="preserve">sw.js, manifest.ts</t>
  </si>
  <si>
    <t xml:space="preserve">Поле без 4G.</t>
  </si>
  <si>
    <t xml:space="preserve">Полевые пользователи</t>
  </si>
  <si>
    <t xml:space="preserve">Health / web-vitals</t>
  </si>
  <si>
    <t xml:space="preserve">GET /api/health; web-vitals.</t>
  </si>
  <si>
    <t xml:space="preserve">Прозрачно для пользователя; ok/degraded/unavailable для ops.</t>
  </si>
  <si>
    <t xml:space="preserve">health.ts</t>
  </si>
  <si>
    <t xml:space="preserve">—</t>
  </si>
  <si>
    <t xml:space="preserve">Эксплуатация</t>
  </si>
  <si>
    <t xml:space="preserve">9. Админка контента</t>
  </si>
  <si>
    <t xml:space="preserve">Авторизация редакторов</t>
  </si>
  <si>
    <t xml:space="preserve">Auth.js Credentials, admin/editor, bcrypt. Публичная карта без логина.</t>
  </si>
  <si>
    <t xml:space="preserve">/admin/login → CRUD.</t>
  </si>
  <si>
    <t xml:space="preserve">auth.ts, guard.ts</t>
  </si>
  <si>
    <t xml:space="preserve">Качество контента.</t>
  </si>
  <si>
    <t xml:space="preserve">Редакторы АНО</t>
  </si>
  <si>
    <t xml:space="preserve">CRUD объектов + мини-карта</t>
  </si>
  <si>
    <t xml:space="preserve">Таблица, форма, MiniMap клик-координата, published, hard delete admin.</t>
  </si>
  <si>
    <t xml:space="preserve">Создаёт/правит → точка на карте → медиа → publish.</t>
  </si>
  <si>
    <t xml:space="preserve">ObjectForm, ObjectsTable, MiniMap</t>
  </si>
  <si>
    <t xml:space="preserve">Редакторы</t>
  </si>
  <si>
    <t xml:space="preserve">Загрузка фото / видео / аудио / 3D</t>
  </si>
  <si>
    <t xml:space="preserve">sharp фото, video, audio, GLB; SpeechKit озвучка.</t>
  </si>
  <si>
    <t xml:space="preserve">Загрузка в форме → публичная карточка.</t>
  </si>
  <si>
    <t xml:space="preserve">upload API; /data/uploads</t>
  </si>
  <si>
    <t xml:space="preserve">Витринные карточки к гранту.</t>
  </si>
  <si>
    <t xml:space="preserve">Проверка импорта monuments</t>
  </si>
  <si>
    <t xml:space="preserve">import-review: геокод, координаты, дубли &lt;100м.</t>
  </si>
  <si>
    <t xml:space="preserve">Очередь импорта → confirm.</t>
  </si>
  <si>
    <t xml:space="preserve">ImportReview</t>
  </si>
  <si>
    <t xml:space="preserve">Операторы данных</t>
  </si>
  <si>
    <t xml:space="preserve">Экспорт CSV / GeoJSON</t>
  </si>
  <si>
    <t xml:space="preserve">Выгрузка объектов.</t>
  </si>
  <si>
    <t xml:space="preserve">Кнопка → файл.</t>
  </si>
  <si>
    <t xml:space="preserve">/api/admin/export</t>
  </si>
  <si>
    <t xml:space="preserve">Админы, отчёты</t>
  </si>
  <si>
    <t xml:space="preserve">10. Админка: мероприятия, пользователи, отчёты</t>
  </si>
  <si>
    <t xml:space="preserve">Управление мероприятиями</t>
  </si>
  <si>
    <t xml:space="preserve">CRUD: объект, даты, venue, organizer, price, registrationUrl, accessibility, status.</t>
  </si>
  <si>
    <t xml:space="preserve">Заводит событие → афиша + пульс маркера.</t>
  </si>
  <si>
    <t xml:space="preserve">EventsManager; без автосбора внешних афиш.</t>
  </si>
  <si>
    <t xml:space="preserve">Поводы для молодёжи.</t>
  </si>
  <si>
    <t xml:space="preserve">Оператор АНО</t>
  </si>
  <si>
    <t xml:space="preserve">Пользователи админки</t>
  </si>
  <si>
    <t xml:space="preserve">admin создаёт/удаляет editor/admin.</t>
  </si>
  <si>
    <t xml:space="preserve">Добавляет редактора.</t>
  </si>
  <si>
    <t xml:space="preserve">UsersManager</t>
  </si>
  <si>
    <t xml:space="preserve">Админ</t>
  </si>
  <si>
    <t xml:space="preserve">Модерация репортов</t>
  </si>
  <si>
    <t xml:space="preserve">new/resolved/rejected.</t>
  </si>
  <si>
    <t xml:space="preserve">Разбирает очередь.</t>
  </si>
  <si>
    <t xml:space="preserve">ReportsManager</t>
  </si>
  <si>
    <t xml:space="preserve">Замыкает крауд-петлю.</t>
  </si>
  <si>
    <t xml:space="preserve">Админы</t>
  </si>
  <si>
    <t xml:space="preserve">11. Инфраструктура и деплой</t>
  </si>
  <si>
    <t xml:space="preserve">Self-hosted стек</t>
  </si>
  <si>
    <t xml:space="preserve">Docker: PostGIS, Next, nginx+certbot; backups 14 дней.</t>
  </si>
  <si>
    <t xml:space="preserve">Пользователь видит сайт; команда — VPS РФ.</t>
  </si>
  <si>
    <t xml:space="preserve">docker-compose; backup.sh; без map SaaS-токенов.</t>
  </si>
  <si>
    <t xml:space="preserve">Устойчивость программ.</t>
  </si>
  <si>
    <t xml:space="preserve">Заказчик, ops, грант</t>
  </si>
  <si>
    <t xml:space="preserve">Масштабирование на другие города</t>
  </si>
  <si>
    <t xml:space="preserve">Модель переносима. UI мультигорода нет (цель: Нск, Екб).</t>
  </si>
  <si>
    <t xml:space="preserve">Сейчас Тюмень; другой город = конфиг/наполнение.</t>
  </si>
  <si>
    <t xml:space="preserve">Нужны city_id, тайлы, контент. Не «уже 10 городов».</t>
  </si>
  <si>
    <t xml:space="preserve">Федеральный охват АНО.</t>
  </si>
  <si>
    <t xml:space="preserve">АНО, регионы</t>
  </si>
  <si>
    <t xml:space="preserve">Геймификация (планерка 16.07)</t>
  </si>
  <si>
    <t xml:space="preserve">Квесты, викторины, маршруты, призы</t>
  </si>
  <si>
    <t xml:space="preserve">Обсуждено 16.07 для 20–35. В репо нет quest/quiz/route/rewards.</t>
  </si>
  <si>
    <t xml:space="preserve">Квестного прохождения нет.</t>
  </si>
  <si>
    <t xml:space="preserve">Только roadmap. Не заявлять как готовое.</t>
  </si>
  <si>
    <t xml:space="preserve">Ключ отличия от Яндекс.Карт для молодёжи.</t>
  </si>
  <si>
    <t xml:space="preserve">Чекины через QR</t>
  </si>
  <si>
    <t xml:space="preserve">Сценарий: QR → страница → аудио + отметка/бонус. Endpoint /object/[id] есть; серверный чекин нет.</t>
  </si>
  <si>
    <t xml:space="preserve">QR на URL карточки уже сработает для открытия; автоплей/бонус — нет.</t>
  </si>
  <si>
    <t xml:space="preserve">Офлайн печать QR; онлайн check-in — бэклог.</t>
  </si>
  <si>
    <t xml:space="preserve">digital↔physical.</t>
  </si>
  <si>
    <t xml:space="preserve">Пешеходы, школы</t>
  </si>
  <si>
    <t xml:space="preserve">Фильтры (планерка 16.07)</t>
  </si>
  <si>
    <t xml:space="preserve">Фильтр по профессиям</t>
  </si>
  <si>
    <t xml:space="preserve">Планерка: полиция/врачи/пожарные. В БД 4 ценностные категории, не профессии.</t>
  </si>
  <si>
    <t xml:space="preserve">Фильтра по профессии нет.</t>
  </si>
  <si>
    <t xml:space="preserve">Теги или подборки — бэклог.</t>
  </si>
  <si>
    <t xml:space="preserve">Профсообщества и партнёры.</t>
  </si>
  <si>
    <t xml:space="preserve">Профсообщества</t>
  </si>
  <si>
    <t xml:space="preserve">Легенда статусов</t>
  </si>
  <si>
    <t xml:space="preserve">Сверка: планерка 16.07.2026 vs фактическая реализация CRAFT_map</t>
  </si>
  <si>
    <t xml:space="preserve">Участники: Юлия Г., Иван Гришанов. Оценка «50/50» — усилить полезность, отличие от Яндекса, интерес молодёжи.</t>
  </si>
  <si>
    <t xml:space="preserve">Тема планерки</t>
  </si>
  <si>
    <t xml:space="preserve">Что сказано на встрече</t>
  </si>
  <si>
    <t xml:space="preserve">Что есть в CRAFT_map сейчас</t>
  </si>
  <si>
    <t xml:space="preserve">Статус</t>
  </si>
  <si>
    <t xml:space="preserve">Рекомендация экспертов для гранта</t>
  </si>
  <si>
    <t xml:space="preserve">Таблица интерфейса + презентация</t>
  </si>
  <si>
    <t xml:space="preserve">Таблица функций; презентация со скринами; черновик к выходным</t>
  </si>
  <si>
    <t xml:space="preserve">Этот XLSX по коду; презентация — следующий шаг</t>
  </si>
  <si>
    <t xml:space="preserve">XLSX в заявку; в слайды только «Реализовано» + 2–3 демо</t>
  </si>
  <si>
    <t xml:space="preserve">Карта всех памятников</t>
  </si>
  <si>
    <t xml:space="preserve">Информация о памятниках Тюмени</t>
  </si>
  <si>
    <t xml:space="preserve">MapLibre, маркеры, кластеры, округа, категории</t>
  </si>
  <si>
    <t xml:space="preserve">Скрин/видео обзора</t>
  </si>
  <si>
    <t xml:space="preserve">Поиск</t>
  </si>
  <si>
    <t xml:space="preserve">Выбрать памятник</t>
  </si>
  <si>
    <t xml:space="preserve">Объект / категория / округ + recent</t>
  </si>
  <si>
    <t xml:space="preserve">Демо поиска</t>
  </si>
  <si>
    <t xml:space="preserve">Список + «Рядом со мной»</t>
  </si>
  <si>
    <t xml:space="preserve">Список; ближайшие по геопозиции</t>
  </si>
  <si>
    <t xml:space="preserve">Список + geolocation + дистанции</t>
  </si>
  <si>
    <t xml:space="preserve">Mobile-демо геолокации</t>
  </si>
  <si>
    <t xml:space="preserve">Карточка видео+аудио</t>
  </si>
  <si>
    <t xml:space="preserve">2–3 карточки: мемориал, острог, Утейра</t>
  </si>
  <si>
    <t xml:space="preserve">Движок готов; наполнение — контент</t>
  </si>
  <si>
    <t xml:space="preserve">Наполнить 2–3 объекта «под ключ»</t>
  </si>
  <si>
    <t xml:space="preserve">QR на памятниках</t>
  </si>
  <si>
    <t xml:space="preserve">Скан → страница + аудио; пилот</t>
  </si>
  <si>
    <t xml:space="preserve">Deep link есть; QR/автоплей/чекин нет</t>
  </si>
  <si>
    <t xml:space="preserve">«Готов endpoint + офлайн QR-пилот»</t>
  </si>
  <si>
    <t xml:space="preserve">Мероприятия</t>
  </si>
  <si>
    <t xml:space="preserve">Сегодня/выходные/месяц; регистрация; льготы-идея</t>
  </si>
  <si>
    <t xml:space="preserve">Афиша, периоды, iCal, registrationUrl; льготы нет</t>
  </si>
  <si>
    <t xml:space="preserve">Живая афиша; льготы — этап 2</t>
  </si>
  <si>
    <t xml:space="preserve">Личный кабинет</t>
  </si>
  <si>
    <t xml:space="preserve">Регистрация, маршруты, бонусы</t>
  </si>
  <si>
    <t xml:space="preserve">localStorage progress; admin auth</t>
  </si>
  <si>
    <t xml:space="preserve">«Локальный прогресс есть; аккаунты — этап 2»</t>
  </si>
  <si>
    <t xml:space="preserve">Геймификация</t>
  </si>
  <si>
    <t xml:space="preserve">Нет модулей</t>
  </si>
  <si>
    <t xml:space="preserve">Roadmap, не «уже работает»</t>
  </si>
  <si>
    <t xml:space="preserve">Полиция, врачи, пожарные…</t>
  </si>
  <si>
    <t xml:space="preserve">4 ценностные категории</t>
  </si>
  <si>
    <t xml:space="preserve">Теги / подборки</t>
  </si>
  <si>
    <t xml:space="preserve">Предложить инициативу</t>
  </si>
  <si>
    <t xml:space="preserve">Предложить памятник/доску</t>
  </si>
  <si>
    <t xml:space="preserve">Только report об ошибке</t>
  </si>
  <si>
    <t xml:space="preserve">Форма + модерация</t>
  </si>
  <si>
    <t xml:space="preserve">Сбор + прозрачность</t>
  </si>
  <si>
    <t xml:space="preserve">Собрано/нужно, отчёты</t>
  </si>
  <si>
    <t xml:space="preserve">Общая donation URL</t>
  </si>
  <si>
    <t xml:space="preserve">Реквизиты; UI прогресса после</t>
  </si>
  <si>
    <t xml:space="preserve">Другие города</t>
  </si>
  <si>
    <t xml:space="preserve">Нск, Екб…</t>
  </si>
  <si>
    <t xml:space="preserve">Тюмень; модель переносима</t>
  </si>
  <si>
    <t xml:space="preserve">«Тиражируемая модель»</t>
  </si>
  <si>
    <t xml:space="preserve">Полезность &gt; инфо</t>
  </si>
  <si>
    <t xml:space="preserve">Туризм, просвещение, наследие</t>
  </si>
  <si>
    <t xml:space="preserve">Карта+контент+события+маршрут+репорты+donate</t>
  </si>
  <si>
    <t xml:space="preserve">User stories по ЦА</t>
  </si>
  <si>
    <t xml:space="preserve">Резюме проекта и заключение группы экспертов (16)</t>
  </si>
  <si>
    <t xml:space="preserve">Краткое резюме (для грантовой заявки)</t>
  </si>
  <si>
    <t xml:space="preserve">CRAFT_map — уже работающее self-hosted веб-приложение: интерактивная карта памятных объектов Тюмени (MapLibre + PostGIS + Next.js), с умным поиском, фильтрами по ценностным категориям Указа № 809 и округам, режимом списка и функцией «Рядом со мной», подробными карточками (фото, видео, аудиогид, секции описания), афишей мероприятий с календарём и внешней регистрацией, локальными отметками «избранное/посещено», кнопкой маршрута в Яндекс.Картах, опциональной поддержкой реставрации и формой сообщения об ошибке. Контент ведётся через защищённую админку. Это не макет, а развёртываемый продукт на VPS РФ без Mapbox/Google-токенов.</t>
  </si>
  <si>
    <t xml:space="preserve">По планерке 16.07.2026 (оценка «50/50») нельзя overpromise: (1) наполнить 2–3 витринные карточки (мемориал ВОВ / острог / Утейра) видео и аудиогидом; (2) честно вынести в roadmap QR-пилоты, прозрачные сборы, инициативы, аккаунты и геймификацию на уже готовом фундаменте; (3) показать пользу для туриста, жителя, молодёжи, профсообществ и АНО и тиражируемость на другие города.</t>
  </si>
  <si>
    <t xml:space="preserve">Состав группы экспертов (16 ролей)</t>
  </si>
  <si>
    <t xml:space="preserve">№</t>
  </si>
  <si>
    <t xml:space="preserve">Эксперт (роль)</t>
  </si>
  <si>
    <t xml:space="preserve">Фокус проверки / вклад</t>
  </si>
  <si>
    <t xml:space="preserve">Product Owner / грантовый стратег</t>
  </si>
  <si>
    <t xml:space="preserve">Полезность vs «просто карта»; упаковка для гранта</t>
  </si>
  <si>
    <t xml:space="preserve">UX-исследователь</t>
  </si>
  <si>
    <t xml:space="preserve">Mobile-first flows, bottom sheet, поиск</t>
  </si>
  <si>
    <t xml:space="preserve">UI-дизайнер цифровых карт</t>
  </si>
  <si>
    <t xml:space="preserve">Чипы, навигация, читаемость</t>
  </si>
  <si>
    <t xml:space="preserve">Картограф / GIS</t>
  </si>
  <si>
    <t xml:space="preserve">PostGIS, округа, кластеры, PMTiles</t>
  </si>
  <si>
    <t xml:space="preserve">Frontend MapLibre</t>
  </si>
  <si>
    <t xml:space="preserve">MapApp / MapView / SearchBar по коду</t>
  </si>
  <si>
    <t xml:space="preserve">Backend / данные</t>
  </si>
  <si>
    <t xml:space="preserve">objects/events/reports, API, zod</t>
  </si>
  <si>
    <t xml:space="preserve">DevOps РФ-контура</t>
  </si>
  <si>
    <t xml:space="preserve">Docker, nginx, без foreign map SaaS</t>
  </si>
  <si>
    <t xml:space="preserve">Контент-редактор наследия</t>
  </si>
  <si>
    <t xml:space="preserve">Секции, витринные карточки</t>
  </si>
  <si>
    <t xml:space="preserve">Аудиогид-специалист</t>
  </si>
  <si>
    <t xml:space="preserve">Плеер, SpeechKit, текст</t>
  </si>
  <si>
    <t xml:space="preserve">Ивент-менеджер НКО</t>
  </si>
  <si>
    <t xml:space="preserve">Афиша, registrationUrl</t>
  </si>
  <si>
    <t xml:space="preserve">Молодёжные программы</t>
  </si>
  <si>
    <t xml:space="preserve">Что вовлекает 20–35 vs backlog</t>
  </si>
  <si>
    <t xml:space="preserve">Гейм-дизайн образования</t>
  </si>
  <si>
    <t xml:space="preserve">Не приписывать квесты; заделы</t>
  </si>
  <si>
    <t xml:space="preserve">Юрист ПДн/платежи (обзор)</t>
  </si>
  <si>
    <t xml:space="preserve">ЛК и сборы — основания</t>
  </si>
  <si>
    <t xml:space="preserve">Фандрайзер НКО</t>
  </si>
  <si>
    <t xml:space="preserve">Прозрачная отчётность = gap</t>
  </si>
  <si>
    <t xml:space="preserve">Туристический методист</t>
  </si>
  <si>
    <t xml:space="preserve">Яндекс-маршрут, рядом, QR</t>
  </si>
  <si>
    <t xml:space="preserve">Grant writer</t>
  </si>
  <si>
    <t xml:space="preserve">Сверка «есть/будет»; резюме</t>
  </si>
  <si>
    <t xml:space="preserve">Консенсус 16/16</t>
  </si>
  <si>
    <t xml:space="preserve">Описывать только реализованное; gaps 16.07 — в план развития. Сильные готовые отличия: ценностные категории, аудиогид+текст, события у объектов, локальный прогресс, self-hosted, админка НКО. Контентный долг — 2–3 идеальные карточки. Продуктовый долг для молодёжи — геймификация и аккаунты после приоритетов гранта.</t>
  </si>
  <si>
    <t xml:space="preserve">Контент-витрина (планерка 16.07): движок готов, нужен контент</t>
  </si>
  <si>
    <t xml:space="preserve">Объект</t>
  </si>
  <si>
    <t xml:space="preserve">Зачем в заявке</t>
  </si>
  <si>
    <t xml:space="preserve">Что умеет движок</t>
  </si>
  <si>
    <t xml:space="preserve">Что подготовить</t>
  </si>
  <si>
    <t xml:space="preserve">Ответственный</t>
  </si>
  <si>
    <t xml:space="preserve">Мемориал воинам ВОВ</t>
  </si>
  <si>
    <t xml:space="preserve">Пилот QR + сильный кейс</t>
  </si>
  <si>
    <t xml:space="preserve">Фото/видео, аудио, секции, события, маршрут, deep link</t>
  </si>
  <si>
    <t xml:space="preserve">Фото, видео, текст+аудио, QR на объекте</t>
  </si>
  <si>
    <t xml:space="preserve">Юлия / редакция</t>
  </si>
  <si>
    <t xml:space="preserve">Контент в работе</t>
  </si>
  <si>
    <t xml:space="preserve">Исторический острог</t>
  </si>
  <si>
    <t xml:space="preserve">Историческая память; к сентябрю</t>
  </si>
  <si>
    <t xml:space="preserve">Полная карточка + секции</t>
  </si>
  <si>
    <t xml:space="preserve">Видео, аудиогид, секции</t>
  </si>
  <si>
    <t xml:space="preserve">Команда + контент</t>
  </si>
  <si>
    <t xml:space="preserve">Памятник авиаторам (Утейра)</t>
  </si>
  <si>
    <t xml:space="preserve">Третий витринный кейс</t>
  </si>
  <si>
    <t xml:space="preserve">Полная карточка</t>
  </si>
  <si>
    <t xml:space="preserve">Медиа, текст, аудио</t>
  </si>
  <si>
    <t xml:space="preserve">Сводка по статусам</t>
  </si>
  <si>
    <t xml:space="preserve">Количество</t>
  </si>
  <si>
    <t xml:space="preserve">Всего строк функций</t>
  </si>
  <si>
    <t xml:space="preserve">Приоритет Высокий</t>
  </si>
  <si>
    <t xml:space="preserve">Приоритет Средний</t>
  </si>
  <si>
    <t xml:space="preserve">Приоритет Низкий</t>
  </si>
  <si>
    <t xml:space="preserve">Ключевые преимущества (для слайда / заявки)</t>
  </si>
  <si>
    <t xml:space="preserve">1. Работающий продукт, не концепт: карта, поиск, список, геолокация, карточки, события, админка.</t>
  </si>
  <si>
    <t xml:space="preserve">2. Образовательный слой: аудиогид + текст + секции + медиа.</t>
  </si>
  <si>
    <t xml:space="preserve">3. Афиша у памятников: сегодня/выходные/месяц, iCal, регистрация по ссылке.</t>
  </si>
  <si>
    <t xml:space="preserve">4. Self-hosted в РФ-контуре без Mapbox/Google-токенов.</t>
  </si>
  <si>
    <t xml:space="preserve">5. Задел вовлечения: избранное/посещено, deep link для QR, репорты; roadmap без overpromise.</t>
  </si>
  <si>
    <t xml:space="preserve">6. Тиражируемая модель для других городов после наполнения.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</si>
</sst>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i val="true"/>
      <sz val="10"/>
      <color rgb="FF455A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3A5C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F0F7"/>
        <bgColor rgb="FFE5EEF8"/>
      </patternFill>
    </fill>
    <fill>
      <patternFill patternType="solid">
        <fgColor rgb="FFF8D7DA"/>
        <bgColor rgb="FFFFCDD2"/>
      </patternFill>
    </fill>
    <fill>
      <patternFill patternType="solid">
        <fgColor rgb="FFC8E6C9"/>
        <bgColor rgb="FFD1E7DD"/>
      </patternFill>
    </fill>
    <fill>
      <patternFill patternType="solid">
        <fgColor rgb="FFFFF3CD"/>
        <bgColor rgb="FFFFF6E5"/>
      </patternFill>
    </fill>
    <fill>
      <patternFill patternType="solid">
        <fgColor rgb="FFD1E7DD"/>
        <bgColor rgb="FFC8E6C9"/>
      </patternFill>
    </fill>
    <fill>
      <patternFill patternType="solid">
        <fgColor rgb="FFEAF4EA"/>
        <bgColor rgb="FFE8F7F4"/>
      </patternFill>
    </fill>
    <fill>
      <patternFill patternType="solid">
        <fgColor rgb="FFFFF6E5"/>
        <bgColor rgb="FFFCEEEE"/>
      </patternFill>
    </fill>
    <fill>
      <patternFill patternType="solid">
        <fgColor rgb="FFF3EAF7"/>
        <bgColor rgb="FFEDEDED"/>
      </patternFill>
    </fill>
    <fill>
      <patternFill patternType="solid">
        <fgColor rgb="FFFFE082"/>
        <bgColor rgb="FFFFF3CD"/>
      </patternFill>
    </fill>
    <fill>
      <patternFill patternType="solid">
        <fgColor rgb="FFE8F7F4"/>
        <bgColor rgb="FFEAF4EA"/>
      </patternFill>
    </fill>
    <fill>
      <patternFill patternType="solid">
        <fgColor rgb="FFFCEEEE"/>
        <bgColor rgb="FFF5F0E8"/>
      </patternFill>
    </fill>
    <fill>
      <patternFill patternType="solid">
        <fgColor rgb="FFFFCDD2"/>
        <bgColor rgb="FFF8D7DA"/>
      </patternFill>
    </fill>
    <fill>
      <patternFill patternType="solid">
        <fgColor rgb="FFF5F0E8"/>
        <bgColor rgb="FFFCEEEE"/>
      </patternFill>
    </fill>
    <fill>
      <patternFill patternType="solid">
        <fgColor rgb="FFEEF0F5"/>
        <bgColor rgb="FFE8F0F7"/>
      </patternFill>
    </fill>
    <fill>
      <patternFill patternType="solid">
        <fgColor rgb="FFE5EEF8"/>
        <bgColor rgb="FFE8F0F7"/>
      </patternFill>
    </fill>
    <fill>
      <patternFill patternType="solid">
        <fgColor rgb="FFE8EAF0"/>
        <bgColor rgb="FFEDEDED"/>
      </patternFill>
    </fill>
    <fill>
      <patternFill patternType="solid">
        <fgColor rgb="FFEDEDED"/>
        <bgColor rgb="FFEEF0F5"/>
      </patternFill>
    </fill>
    <fill>
      <patternFill patternType="solid">
        <fgColor rgb="FFFDE7F0"/>
        <bgColor rgb="FFFCEEEE"/>
      </patternFill>
    </fill>
    <fill>
      <patternFill patternType="solid">
        <fgColor rgb="FFE0F2F1"/>
        <bgColor rgb="FFE5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B3A5C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5EEF8"/>
          <bgColor rgb="FF000000"/>
        </patternFill>
      </fill>
    </dxf>
    <dxf>
      <fill>
        <patternFill patternType="solid">
          <fgColor rgb="FFE8EAF0"/>
          <bgColor rgb="FF000000"/>
        </patternFill>
      </fill>
    </dxf>
    <dxf>
      <fill>
        <patternFill patternType="solid">
          <fgColor rgb="FFE8F0F7"/>
          <bgColor rgb="FF000000"/>
        </patternFill>
      </fill>
    </dxf>
    <dxf>
      <fill>
        <patternFill patternType="solid">
          <fgColor rgb="FFE8F7F4"/>
          <bgColor rgb="FF000000"/>
        </patternFill>
      </fill>
    </dxf>
    <dxf>
      <fill>
        <patternFill patternType="solid">
          <fgColor rgb="FFEAF4E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F0F5"/>
          <bgColor rgb="FF000000"/>
        </patternFill>
      </fill>
    </dxf>
    <dxf>
      <fill>
        <patternFill patternType="solid">
          <fgColor rgb="FFF3EAF7"/>
          <bgColor rgb="FF000000"/>
        </patternFill>
      </fill>
    </dxf>
    <dxf>
      <fill>
        <patternFill patternType="solid">
          <fgColor rgb="FFF5F0E8"/>
          <bgColor rgb="FF000000"/>
        </patternFill>
      </fill>
    </dxf>
    <dxf>
      <fill>
        <patternFill patternType="solid">
          <fgColor rgb="FFFCEEEE"/>
          <bgColor rgb="FF000000"/>
        </patternFill>
      </fill>
    </dxf>
    <dxf>
      <fill>
        <patternFill patternType="solid">
          <fgColor rgb="FFFDE7F0"/>
          <bgColor rgb="FF000000"/>
        </patternFill>
      </fill>
    </dxf>
    <dxf>
      <fill>
        <patternFill patternType="solid">
          <fgColor rgb="FFFFF6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F0E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E8EAF0"/>
      <rgbColor rgb="FF993366"/>
      <rgbColor rgb="FFFFF3CD"/>
      <rgbColor rgb="FFE0F2F1"/>
      <rgbColor rgb="FF660066"/>
      <rgbColor rgb="FFF3EAF7"/>
      <rgbColor rgb="FF0066CC"/>
      <rgbColor rgb="FFD1E7DD"/>
      <rgbColor rgb="FF000080"/>
      <rgbColor rgb="FFFF00FF"/>
      <rgbColor rgb="FFEAF4EA"/>
      <rgbColor rgb="FF00FFFF"/>
      <rgbColor rgb="FF800080"/>
      <rgbColor rgb="FF800000"/>
      <rgbColor rgb="FF008080"/>
      <rgbColor rgb="FF0000FF"/>
      <rgbColor rgb="FF00CCFF"/>
      <rgbColor rgb="FFE8F7F4"/>
      <rgbColor rgb="FFC8E6C9"/>
      <rgbColor rgb="FFFFF6E5"/>
      <rgbColor rgb="FFE5EEF8"/>
      <rgbColor rgb="FFFFCDD2"/>
      <rgbColor rgb="FFF8D7DA"/>
      <rgbColor rgb="FFFFE082"/>
      <rgbColor rgb="FF3366FF"/>
      <rgbColor rgb="FFEEF0F5"/>
      <rgbColor rgb="FFE8F0F7"/>
      <rgbColor rgb="FFFDE7F0"/>
      <rgbColor rgb="FFFCEEEE"/>
      <rgbColor rgb="FFFF6600"/>
      <rgbColor rgb="FF455A64"/>
      <rgbColor rgb="FFEDEDED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5" min="4" style="0" width="40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72" hidden="false" customHeight="tru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5" t="s">
        <v>17</v>
      </c>
      <c r="H5" s="5" t="s">
        <v>18</v>
      </c>
      <c r="I5" s="7" t="s">
        <v>19</v>
      </c>
    </row>
    <row r="6" customFormat="false" ht="72" hidden="false" customHeight="true" outlineLevel="0" collapsed="false">
      <c r="A6" s="4" t="s">
        <v>11</v>
      </c>
      <c r="B6" s="5" t="s">
        <v>20</v>
      </c>
      <c r="C6" s="5" t="s">
        <v>21</v>
      </c>
      <c r="D6" s="5" t="s">
        <v>22</v>
      </c>
      <c r="E6" s="5" t="s">
        <v>23</v>
      </c>
      <c r="F6" s="6" t="s">
        <v>16</v>
      </c>
      <c r="G6" s="5" t="s">
        <v>24</v>
      </c>
      <c r="H6" s="5" t="s">
        <v>25</v>
      </c>
      <c r="I6" s="7" t="s">
        <v>19</v>
      </c>
    </row>
    <row r="7" customFormat="false" ht="72" hidden="false" customHeight="true" outlineLevel="0" collapsed="false">
      <c r="A7" s="4" t="s">
        <v>11</v>
      </c>
      <c r="B7" s="5" t="s">
        <v>26</v>
      </c>
      <c r="C7" s="5" t="s">
        <v>27</v>
      </c>
      <c r="D7" s="5" t="s">
        <v>28</v>
      </c>
      <c r="E7" s="5" t="s">
        <v>29</v>
      </c>
      <c r="F7" s="6" t="s">
        <v>16</v>
      </c>
      <c r="G7" s="5" t="s">
        <v>30</v>
      </c>
      <c r="H7" s="5" t="s">
        <v>31</v>
      </c>
      <c r="I7" s="7" t="s">
        <v>19</v>
      </c>
    </row>
    <row r="8" customFormat="false" ht="72" hidden="false" customHeight="true" outlineLevel="0" collapsed="false">
      <c r="A8" s="4" t="s">
        <v>11</v>
      </c>
      <c r="B8" s="5" t="s">
        <v>32</v>
      </c>
      <c r="C8" s="5" t="s">
        <v>33</v>
      </c>
      <c r="D8" s="5" t="s">
        <v>34</v>
      </c>
      <c r="E8" s="5" t="s">
        <v>35</v>
      </c>
      <c r="F8" s="6" t="s">
        <v>16</v>
      </c>
      <c r="G8" s="5" t="s">
        <v>36</v>
      </c>
      <c r="H8" s="5" t="s">
        <v>37</v>
      </c>
      <c r="I8" s="7" t="s">
        <v>19</v>
      </c>
    </row>
    <row r="9" customFormat="false" ht="72" hidden="false" customHeight="true" outlineLevel="0" collapsed="false">
      <c r="A9" s="4" t="s">
        <v>11</v>
      </c>
      <c r="B9" s="5" t="s">
        <v>38</v>
      </c>
      <c r="C9" s="5" t="s">
        <v>39</v>
      </c>
      <c r="D9" s="5" t="s">
        <v>40</v>
      </c>
      <c r="E9" s="5" t="s">
        <v>41</v>
      </c>
      <c r="F9" s="6" t="s">
        <v>16</v>
      </c>
      <c r="G9" s="5" t="s">
        <v>42</v>
      </c>
      <c r="H9" s="5" t="s">
        <v>43</v>
      </c>
      <c r="I9" s="7" t="s">
        <v>19</v>
      </c>
    </row>
    <row r="10" customFormat="false" ht="72" hidden="false" customHeight="true" outlineLevel="0" collapsed="false">
      <c r="A10" s="4" t="s">
        <v>11</v>
      </c>
      <c r="B10" s="5" t="s">
        <v>44</v>
      </c>
      <c r="C10" s="5" t="s">
        <v>45</v>
      </c>
      <c r="D10" s="5" t="s">
        <v>46</v>
      </c>
      <c r="E10" s="5" t="s">
        <v>47</v>
      </c>
      <c r="F10" s="8" t="s">
        <v>48</v>
      </c>
      <c r="G10" s="5" t="s">
        <v>49</v>
      </c>
      <c r="H10" s="5" t="s">
        <v>50</v>
      </c>
      <c r="I10" s="7" t="s">
        <v>19</v>
      </c>
    </row>
    <row r="11" customFormat="false" ht="72" hidden="false" customHeight="true" outlineLevel="0" collapsed="false">
      <c r="A11" s="4" t="s">
        <v>11</v>
      </c>
      <c r="B11" s="5" t="s">
        <v>51</v>
      </c>
      <c r="C11" s="5" t="s">
        <v>52</v>
      </c>
      <c r="D11" s="5" t="s">
        <v>53</v>
      </c>
      <c r="E11" s="5" t="s">
        <v>54</v>
      </c>
      <c r="F11" s="9" t="s">
        <v>55</v>
      </c>
      <c r="G11" s="5" t="s">
        <v>56</v>
      </c>
      <c r="H11" s="5" t="s">
        <v>57</v>
      </c>
      <c r="I11" s="7" t="s">
        <v>19</v>
      </c>
    </row>
    <row r="12" customFormat="false" ht="72" hidden="false" customHeight="true" outlineLevel="0" collapsed="false">
      <c r="A12" s="10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6" t="s">
        <v>16</v>
      </c>
      <c r="G12" s="5" t="s">
        <v>63</v>
      </c>
      <c r="H12" s="5" t="s">
        <v>31</v>
      </c>
      <c r="I12" s="7" t="s">
        <v>19</v>
      </c>
    </row>
    <row r="13" customFormat="false" ht="72" hidden="false" customHeight="true" outlineLevel="0" collapsed="false">
      <c r="A13" s="10" t="s">
        <v>58</v>
      </c>
      <c r="B13" s="5" t="s">
        <v>64</v>
      </c>
      <c r="C13" s="5" t="s">
        <v>65</v>
      </c>
      <c r="D13" s="5" t="s">
        <v>66</v>
      </c>
      <c r="E13" s="5" t="s">
        <v>67</v>
      </c>
      <c r="F13" s="8" t="s">
        <v>48</v>
      </c>
      <c r="G13" s="5" t="s">
        <v>68</v>
      </c>
      <c r="H13" s="5" t="s">
        <v>69</v>
      </c>
      <c r="I13" s="7" t="s">
        <v>19</v>
      </c>
    </row>
    <row r="14" customFormat="false" ht="72" hidden="false" customHeight="true" outlineLevel="0" collapsed="false">
      <c r="A14" s="11" t="s">
        <v>70</v>
      </c>
      <c r="B14" s="5" t="s">
        <v>71</v>
      </c>
      <c r="C14" s="5" t="s">
        <v>72</v>
      </c>
      <c r="D14" s="5" t="s">
        <v>73</v>
      </c>
      <c r="E14" s="5" t="s">
        <v>74</v>
      </c>
      <c r="F14" s="6" t="s">
        <v>16</v>
      </c>
      <c r="G14" s="5" t="s">
        <v>75</v>
      </c>
      <c r="H14" s="5" t="s">
        <v>76</v>
      </c>
      <c r="I14" s="7" t="s">
        <v>19</v>
      </c>
    </row>
    <row r="15" customFormat="false" ht="72" hidden="false" customHeight="true" outlineLevel="0" collapsed="false">
      <c r="A15" s="11" t="s">
        <v>70</v>
      </c>
      <c r="B15" s="5" t="s">
        <v>77</v>
      </c>
      <c r="C15" s="5" t="s">
        <v>78</v>
      </c>
      <c r="D15" s="5" t="s">
        <v>79</v>
      </c>
      <c r="E15" s="5" t="s">
        <v>80</v>
      </c>
      <c r="F15" s="6" t="s">
        <v>16</v>
      </c>
      <c r="G15" s="5" t="s">
        <v>81</v>
      </c>
      <c r="H15" s="5" t="s">
        <v>82</v>
      </c>
      <c r="I15" s="7" t="s">
        <v>19</v>
      </c>
    </row>
    <row r="16" customFormat="false" ht="72" hidden="false" customHeight="true" outlineLevel="0" collapsed="false">
      <c r="A16" s="11" t="s">
        <v>70</v>
      </c>
      <c r="B16" s="5" t="s">
        <v>83</v>
      </c>
      <c r="C16" s="5" t="s">
        <v>84</v>
      </c>
      <c r="D16" s="5" t="s">
        <v>85</v>
      </c>
      <c r="E16" s="5" t="s">
        <v>86</v>
      </c>
      <c r="F16" s="8" t="s">
        <v>48</v>
      </c>
      <c r="G16" s="5" t="s">
        <v>87</v>
      </c>
      <c r="H16" s="5" t="s">
        <v>88</v>
      </c>
      <c r="I16" s="7" t="s">
        <v>19</v>
      </c>
    </row>
    <row r="17" customFormat="false" ht="72" hidden="false" customHeight="true" outlineLevel="0" collapsed="false">
      <c r="A17" s="12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6" t="s">
        <v>16</v>
      </c>
      <c r="G17" s="5" t="s">
        <v>94</v>
      </c>
      <c r="H17" s="5" t="s">
        <v>31</v>
      </c>
      <c r="I17" s="7" t="s">
        <v>19</v>
      </c>
    </row>
    <row r="18" customFormat="false" ht="72" hidden="false" customHeight="true" outlineLevel="0" collapsed="false">
      <c r="A18" s="12" t="s">
        <v>89</v>
      </c>
      <c r="B18" s="5" t="s">
        <v>95</v>
      </c>
      <c r="C18" s="5" t="s">
        <v>96</v>
      </c>
      <c r="D18" s="5" t="s">
        <v>97</v>
      </c>
      <c r="E18" s="5" t="s">
        <v>98</v>
      </c>
      <c r="F18" s="6" t="s">
        <v>16</v>
      </c>
      <c r="G18" s="5" t="s">
        <v>99</v>
      </c>
      <c r="H18" s="5" t="s">
        <v>100</v>
      </c>
      <c r="I18" s="7" t="s">
        <v>19</v>
      </c>
    </row>
    <row r="19" customFormat="false" ht="72" hidden="false" customHeight="true" outlineLevel="0" collapsed="false">
      <c r="A19" s="12" t="s">
        <v>89</v>
      </c>
      <c r="B19" s="5" t="s">
        <v>101</v>
      </c>
      <c r="C19" s="5" t="s">
        <v>102</v>
      </c>
      <c r="D19" s="5" t="s">
        <v>103</v>
      </c>
      <c r="E19" s="5" t="s">
        <v>104</v>
      </c>
      <c r="F19" s="6" t="s">
        <v>16</v>
      </c>
      <c r="G19" s="5" t="s">
        <v>105</v>
      </c>
      <c r="H19" s="5" t="s">
        <v>106</v>
      </c>
      <c r="I19" s="7" t="s">
        <v>19</v>
      </c>
    </row>
    <row r="20" customFormat="false" ht="72" hidden="false" customHeight="true" outlineLevel="0" collapsed="false">
      <c r="A20" s="12" t="s">
        <v>89</v>
      </c>
      <c r="B20" s="5" t="s">
        <v>107</v>
      </c>
      <c r="C20" s="5" t="s">
        <v>108</v>
      </c>
      <c r="D20" s="5" t="s">
        <v>109</v>
      </c>
      <c r="E20" s="5" t="s">
        <v>110</v>
      </c>
      <c r="F20" s="6" t="s">
        <v>16</v>
      </c>
      <c r="G20" s="5" t="s">
        <v>111</v>
      </c>
      <c r="H20" s="5" t="s">
        <v>112</v>
      </c>
      <c r="I20" s="7" t="s">
        <v>19</v>
      </c>
    </row>
    <row r="21" customFormat="false" ht="72" hidden="false" customHeight="true" outlineLevel="0" collapsed="false">
      <c r="A21" s="12" t="s">
        <v>89</v>
      </c>
      <c r="B21" s="5" t="s">
        <v>113</v>
      </c>
      <c r="C21" s="5" t="s">
        <v>114</v>
      </c>
      <c r="D21" s="5" t="s">
        <v>115</v>
      </c>
      <c r="E21" s="5" t="s">
        <v>116</v>
      </c>
      <c r="F21" s="8" t="s">
        <v>48</v>
      </c>
      <c r="G21" s="5" t="s">
        <v>117</v>
      </c>
      <c r="H21" s="5" t="s">
        <v>118</v>
      </c>
      <c r="I21" s="13" t="s">
        <v>119</v>
      </c>
    </row>
    <row r="22" customFormat="false" ht="72" hidden="false" customHeight="true" outlineLevel="0" collapsed="false">
      <c r="A22" s="12" t="s">
        <v>89</v>
      </c>
      <c r="B22" s="5" t="s">
        <v>120</v>
      </c>
      <c r="C22" s="5" t="s">
        <v>121</v>
      </c>
      <c r="D22" s="5" t="s">
        <v>122</v>
      </c>
      <c r="E22" s="5" t="s">
        <v>123</v>
      </c>
      <c r="F22" s="6" t="s">
        <v>16</v>
      </c>
      <c r="G22" s="5" t="s">
        <v>124</v>
      </c>
      <c r="H22" s="5" t="s">
        <v>125</v>
      </c>
      <c r="I22" s="7" t="s">
        <v>19</v>
      </c>
    </row>
    <row r="23" customFormat="false" ht="72" hidden="false" customHeight="true" outlineLevel="0" collapsed="false">
      <c r="A23" s="12" t="s">
        <v>89</v>
      </c>
      <c r="B23" s="5" t="s">
        <v>126</v>
      </c>
      <c r="C23" s="5" t="s">
        <v>127</v>
      </c>
      <c r="D23" s="5" t="s">
        <v>128</v>
      </c>
      <c r="E23" s="5" t="s">
        <v>129</v>
      </c>
      <c r="F23" s="8" t="s">
        <v>48</v>
      </c>
      <c r="G23" s="5" t="s">
        <v>130</v>
      </c>
      <c r="H23" s="5" t="s">
        <v>131</v>
      </c>
      <c r="I23" s="7" t="s">
        <v>19</v>
      </c>
    </row>
    <row r="24" customFormat="false" ht="72" hidden="false" customHeight="true" outlineLevel="0" collapsed="false">
      <c r="A24" s="12" t="s">
        <v>89</v>
      </c>
      <c r="B24" s="5" t="s">
        <v>132</v>
      </c>
      <c r="C24" s="5" t="s">
        <v>133</v>
      </c>
      <c r="D24" s="5" t="s">
        <v>134</v>
      </c>
      <c r="E24" s="5" t="s">
        <v>135</v>
      </c>
      <c r="F24" s="6" t="s">
        <v>16</v>
      </c>
      <c r="G24" s="5" t="s">
        <v>136</v>
      </c>
      <c r="H24" s="5" t="s">
        <v>137</v>
      </c>
      <c r="I24" s="7" t="s">
        <v>19</v>
      </c>
    </row>
    <row r="25" customFormat="false" ht="72" hidden="false" customHeight="true" outlineLevel="0" collapsed="false">
      <c r="A25" s="14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6" t="s">
        <v>16</v>
      </c>
      <c r="G25" s="5" t="s">
        <v>143</v>
      </c>
      <c r="H25" s="5" t="s">
        <v>144</v>
      </c>
      <c r="I25" s="7" t="s">
        <v>19</v>
      </c>
    </row>
    <row r="26" customFormat="false" ht="72" hidden="false" customHeight="true" outlineLevel="0" collapsed="false">
      <c r="A26" s="14" t="s">
        <v>138</v>
      </c>
      <c r="B26" s="5" t="s">
        <v>145</v>
      </c>
      <c r="C26" s="5" t="s">
        <v>146</v>
      </c>
      <c r="D26" s="5" t="s">
        <v>147</v>
      </c>
      <c r="E26" s="5" t="s">
        <v>148</v>
      </c>
      <c r="F26" s="8" t="s">
        <v>48</v>
      </c>
      <c r="G26" s="5" t="s">
        <v>149</v>
      </c>
      <c r="H26" s="5" t="s">
        <v>150</v>
      </c>
      <c r="I26" s="7" t="s">
        <v>19</v>
      </c>
    </row>
    <row r="27" customFormat="false" ht="72" hidden="false" customHeight="true" outlineLevel="0" collapsed="false">
      <c r="A27" s="14" t="s">
        <v>138</v>
      </c>
      <c r="B27" s="5" t="s">
        <v>151</v>
      </c>
      <c r="C27" s="5" t="s">
        <v>152</v>
      </c>
      <c r="D27" s="5" t="s">
        <v>153</v>
      </c>
      <c r="E27" s="5" t="s">
        <v>154</v>
      </c>
      <c r="F27" s="6" t="s">
        <v>16</v>
      </c>
      <c r="G27" s="5" t="s">
        <v>155</v>
      </c>
      <c r="H27" s="5" t="s">
        <v>118</v>
      </c>
      <c r="I27" s="7" t="s">
        <v>19</v>
      </c>
    </row>
    <row r="28" customFormat="false" ht="72" hidden="false" customHeight="true" outlineLevel="0" collapsed="false">
      <c r="A28" s="15" t="s">
        <v>156</v>
      </c>
      <c r="B28" s="5" t="s">
        <v>157</v>
      </c>
      <c r="C28" s="5" t="s">
        <v>158</v>
      </c>
      <c r="D28" s="5" t="s">
        <v>159</v>
      </c>
      <c r="E28" s="5" t="s">
        <v>160</v>
      </c>
      <c r="F28" s="8" t="s">
        <v>48</v>
      </c>
      <c r="G28" s="5" t="s">
        <v>161</v>
      </c>
      <c r="H28" s="5" t="s">
        <v>88</v>
      </c>
      <c r="I28" s="13" t="s">
        <v>119</v>
      </c>
    </row>
    <row r="29" customFormat="false" ht="72" hidden="false" customHeight="true" outlineLevel="0" collapsed="false">
      <c r="A29" s="15" t="s">
        <v>156</v>
      </c>
      <c r="B29" s="5" t="s">
        <v>162</v>
      </c>
      <c r="C29" s="5" t="s">
        <v>163</v>
      </c>
      <c r="D29" s="5" t="s">
        <v>164</v>
      </c>
      <c r="E29" s="5" t="s">
        <v>165</v>
      </c>
      <c r="F29" s="8" t="s">
        <v>48</v>
      </c>
      <c r="G29" s="5" t="s">
        <v>166</v>
      </c>
      <c r="H29" s="5" t="s">
        <v>167</v>
      </c>
      <c r="I29" s="16" t="s">
        <v>168</v>
      </c>
    </row>
    <row r="30" customFormat="false" ht="72" hidden="false" customHeight="true" outlineLevel="0" collapsed="false">
      <c r="A30" s="17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8" t="s">
        <v>48</v>
      </c>
      <c r="G30" s="5" t="s">
        <v>174</v>
      </c>
      <c r="H30" s="5" t="s">
        <v>175</v>
      </c>
      <c r="I30" s="13" t="s">
        <v>119</v>
      </c>
    </row>
    <row r="31" customFormat="false" ht="72" hidden="false" customHeight="true" outlineLevel="0" collapsed="false">
      <c r="A31" s="17" t="s">
        <v>169</v>
      </c>
      <c r="B31" s="5" t="s">
        <v>176</v>
      </c>
      <c r="C31" s="5" t="s">
        <v>177</v>
      </c>
      <c r="D31" s="5" t="s">
        <v>178</v>
      </c>
      <c r="E31" s="5" t="s">
        <v>179</v>
      </c>
      <c r="F31" s="8" t="s">
        <v>48</v>
      </c>
      <c r="G31" s="5" t="s">
        <v>180</v>
      </c>
      <c r="H31" s="5" t="s">
        <v>181</v>
      </c>
      <c r="I31" s="7" t="s">
        <v>19</v>
      </c>
    </row>
    <row r="32" customFormat="false" ht="72" hidden="false" customHeight="true" outlineLevel="0" collapsed="false">
      <c r="A32" s="17" t="s">
        <v>169</v>
      </c>
      <c r="B32" s="5" t="s">
        <v>182</v>
      </c>
      <c r="C32" s="5" t="s">
        <v>183</v>
      </c>
      <c r="D32" s="5" t="s">
        <v>184</v>
      </c>
      <c r="E32" s="5" t="s">
        <v>185</v>
      </c>
      <c r="F32" s="8" t="s">
        <v>48</v>
      </c>
      <c r="G32" s="5" t="s">
        <v>186</v>
      </c>
      <c r="H32" s="5" t="s">
        <v>187</v>
      </c>
      <c r="I32" s="16" t="s">
        <v>168</v>
      </c>
    </row>
    <row r="33" customFormat="false" ht="72" hidden="false" customHeight="true" outlineLevel="0" collapsed="false">
      <c r="A33" s="17" t="s">
        <v>169</v>
      </c>
      <c r="B33" s="5" t="s">
        <v>188</v>
      </c>
      <c r="C33" s="5" t="s">
        <v>189</v>
      </c>
      <c r="D33" s="5" t="s">
        <v>190</v>
      </c>
      <c r="E33" s="5" t="s">
        <v>191</v>
      </c>
      <c r="F33" s="8" t="s">
        <v>48</v>
      </c>
      <c r="G33" s="5" t="s">
        <v>192</v>
      </c>
      <c r="H33" s="5" t="s">
        <v>193</v>
      </c>
      <c r="I33" s="16" t="s">
        <v>168</v>
      </c>
    </row>
    <row r="34" customFormat="false" ht="72" hidden="false" customHeight="true" outlineLevel="0" collapsed="false">
      <c r="A34" s="18" t="s">
        <v>194</v>
      </c>
      <c r="B34" s="5" t="s">
        <v>195</v>
      </c>
      <c r="C34" s="5" t="s">
        <v>196</v>
      </c>
      <c r="D34" s="5" t="s">
        <v>197</v>
      </c>
      <c r="E34" s="5" t="s">
        <v>198</v>
      </c>
      <c r="F34" s="9" t="s">
        <v>55</v>
      </c>
      <c r="G34" s="5" t="s">
        <v>199</v>
      </c>
      <c r="H34" s="5" t="s">
        <v>200</v>
      </c>
      <c r="I34" s="7" t="s">
        <v>19</v>
      </c>
    </row>
    <row r="35" customFormat="false" ht="72" hidden="false" customHeight="true" outlineLevel="0" collapsed="false">
      <c r="A35" s="18" t="s">
        <v>194</v>
      </c>
      <c r="B35" s="5" t="s">
        <v>201</v>
      </c>
      <c r="C35" s="5" t="s">
        <v>202</v>
      </c>
      <c r="D35" s="5" t="s">
        <v>203</v>
      </c>
      <c r="E35" s="5" t="s">
        <v>204</v>
      </c>
      <c r="F35" s="9" t="s">
        <v>55</v>
      </c>
      <c r="G35" s="5" t="s">
        <v>205</v>
      </c>
      <c r="H35" s="5" t="s">
        <v>206</v>
      </c>
      <c r="I35" s="7" t="s">
        <v>19</v>
      </c>
    </row>
    <row r="36" customFormat="false" ht="72" hidden="false" customHeight="true" outlineLevel="0" collapsed="false">
      <c r="A36" s="19" t="s">
        <v>207</v>
      </c>
      <c r="B36" s="5" t="s">
        <v>208</v>
      </c>
      <c r="C36" s="5" t="s">
        <v>209</v>
      </c>
      <c r="D36" s="5" t="s">
        <v>210</v>
      </c>
      <c r="E36" s="5" t="s">
        <v>211</v>
      </c>
      <c r="F36" s="6" t="s">
        <v>16</v>
      </c>
      <c r="G36" s="5" t="s">
        <v>212</v>
      </c>
      <c r="H36" s="5" t="s">
        <v>213</v>
      </c>
      <c r="I36" s="7" t="s">
        <v>19</v>
      </c>
    </row>
    <row r="37" customFormat="false" ht="72" hidden="false" customHeight="true" outlineLevel="0" collapsed="false">
      <c r="A37" s="19" t="s">
        <v>207</v>
      </c>
      <c r="B37" s="5" t="s">
        <v>214</v>
      </c>
      <c r="C37" s="5" t="s">
        <v>215</v>
      </c>
      <c r="D37" s="5" t="s">
        <v>216</v>
      </c>
      <c r="E37" s="5" t="s">
        <v>217</v>
      </c>
      <c r="F37" s="6" t="s">
        <v>16</v>
      </c>
      <c r="G37" s="5" t="s">
        <v>205</v>
      </c>
      <c r="H37" s="5" t="s">
        <v>218</v>
      </c>
      <c r="I37" s="7" t="s">
        <v>19</v>
      </c>
    </row>
    <row r="38" customFormat="false" ht="72" hidden="false" customHeight="true" outlineLevel="0" collapsed="false">
      <c r="A38" s="19" t="s">
        <v>207</v>
      </c>
      <c r="B38" s="5" t="s">
        <v>219</v>
      </c>
      <c r="C38" s="5" t="s">
        <v>220</v>
      </c>
      <c r="D38" s="5" t="s">
        <v>221</v>
      </c>
      <c r="E38" s="5" t="s">
        <v>222</v>
      </c>
      <c r="F38" s="6" t="s">
        <v>16</v>
      </c>
      <c r="G38" s="5" t="s">
        <v>223</v>
      </c>
      <c r="H38" s="5" t="s">
        <v>218</v>
      </c>
      <c r="I38" s="7" t="s">
        <v>19</v>
      </c>
    </row>
    <row r="39" customFormat="false" ht="72" hidden="false" customHeight="true" outlineLevel="0" collapsed="false">
      <c r="A39" s="19" t="s">
        <v>207</v>
      </c>
      <c r="B39" s="5" t="s">
        <v>224</v>
      </c>
      <c r="C39" s="5" t="s">
        <v>225</v>
      </c>
      <c r="D39" s="5" t="s">
        <v>226</v>
      </c>
      <c r="E39" s="5" t="s">
        <v>227</v>
      </c>
      <c r="F39" s="8" t="s">
        <v>48</v>
      </c>
      <c r="G39" s="5" t="s">
        <v>205</v>
      </c>
      <c r="H39" s="5" t="s">
        <v>228</v>
      </c>
      <c r="I39" s="7" t="s">
        <v>19</v>
      </c>
    </row>
    <row r="40" customFormat="false" ht="72" hidden="false" customHeight="true" outlineLevel="0" collapsed="false">
      <c r="A40" s="19" t="s">
        <v>207</v>
      </c>
      <c r="B40" s="5" t="s">
        <v>229</v>
      </c>
      <c r="C40" s="5" t="s">
        <v>230</v>
      </c>
      <c r="D40" s="5" t="s">
        <v>231</v>
      </c>
      <c r="E40" s="5" t="s">
        <v>232</v>
      </c>
      <c r="F40" s="8" t="s">
        <v>48</v>
      </c>
      <c r="G40" s="5" t="s">
        <v>205</v>
      </c>
      <c r="H40" s="5" t="s">
        <v>233</v>
      </c>
      <c r="I40" s="7" t="s">
        <v>19</v>
      </c>
    </row>
    <row r="41" customFormat="false" ht="72" hidden="false" customHeight="true" outlineLevel="0" collapsed="false">
      <c r="A41" s="20" t="s">
        <v>234</v>
      </c>
      <c r="B41" s="5" t="s">
        <v>235</v>
      </c>
      <c r="C41" s="5" t="s">
        <v>236</v>
      </c>
      <c r="D41" s="5" t="s">
        <v>237</v>
      </c>
      <c r="E41" s="5" t="s">
        <v>238</v>
      </c>
      <c r="F41" s="6" t="s">
        <v>16</v>
      </c>
      <c r="G41" s="5" t="s">
        <v>239</v>
      </c>
      <c r="H41" s="5" t="s">
        <v>240</v>
      </c>
      <c r="I41" s="7" t="s">
        <v>19</v>
      </c>
    </row>
    <row r="42" customFormat="false" ht="72" hidden="false" customHeight="true" outlineLevel="0" collapsed="false">
      <c r="A42" s="20" t="s">
        <v>234</v>
      </c>
      <c r="B42" s="5" t="s">
        <v>241</v>
      </c>
      <c r="C42" s="5" t="s">
        <v>242</v>
      </c>
      <c r="D42" s="5" t="s">
        <v>243</v>
      </c>
      <c r="E42" s="5" t="s">
        <v>244</v>
      </c>
      <c r="F42" s="8" t="s">
        <v>48</v>
      </c>
      <c r="G42" s="5" t="s">
        <v>205</v>
      </c>
      <c r="H42" s="5" t="s">
        <v>245</v>
      </c>
      <c r="I42" s="7" t="s">
        <v>19</v>
      </c>
    </row>
    <row r="43" customFormat="false" ht="72" hidden="false" customHeight="true" outlineLevel="0" collapsed="false">
      <c r="A43" s="20" t="s">
        <v>234</v>
      </c>
      <c r="B43" s="5" t="s">
        <v>246</v>
      </c>
      <c r="C43" s="5" t="s">
        <v>247</v>
      </c>
      <c r="D43" s="5" t="s">
        <v>248</v>
      </c>
      <c r="E43" s="5" t="s">
        <v>249</v>
      </c>
      <c r="F43" s="8" t="s">
        <v>48</v>
      </c>
      <c r="G43" s="5" t="s">
        <v>250</v>
      </c>
      <c r="H43" s="5" t="s">
        <v>251</v>
      </c>
      <c r="I43" s="7" t="s">
        <v>19</v>
      </c>
    </row>
    <row r="44" customFormat="false" ht="72" hidden="false" customHeight="true" outlineLevel="0" collapsed="false">
      <c r="A44" s="21" t="s">
        <v>252</v>
      </c>
      <c r="B44" s="5" t="s">
        <v>253</v>
      </c>
      <c r="C44" s="5" t="s">
        <v>254</v>
      </c>
      <c r="D44" s="5" t="s">
        <v>255</v>
      </c>
      <c r="E44" s="5" t="s">
        <v>256</v>
      </c>
      <c r="F44" s="6" t="s">
        <v>16</v>
      </c>
      <c r="G44" s="5" t="s">
        <v>257</v>
      </c>
      <c r="H44" s="5" t="s">
        <v>258</v>
      </c>
      <c r="I44" s="7" t="s">
        <v>19</v>
      </c>
    </row>
    <row r="45" customFormat="false" ht="72" hidden="false" customHeight="true" outlineLevel="0" collapsed="false">
      <c r="A45" s="21" t="s">
        <v>252</v>
      </c>
      <c r="B45" s="5" t="s">
        <v>259</v>
      </c>
      <c r="C45" s="5" t="s">
        <v>260</v>
      </c>
      <c r="D45" s="5" t="s">
        <v>261</v>
      </c>
      <c r="E45" s="5" t="s">
        <v>262</v>
      </c>
      <c r="F45" s="8" t="s">
        <v>48</v>
      </c>
      <c r="G45" s="5" t="s">
        <v>263</v>
      </c>
      <c r="H45" s="5" t="s">
        <v>264</v>
      </c>
      <c r="I45" s="13" t="s">
        <v>119</v>
      </c>
    </row>
    <row r="46" customFormat="false" ht="72" hidden="false" customHeight="true" outlineLevel="0" collapsed="false">
      <c r="A46" s="22" t="s">
        <v>265</v>
      </c>
      <c r="B46" s="5" t="s">
        <v>266</v>
      </c>
      <c r="C46" s="5" t="s">
        <v>267</v>
      </c>
      <c r="D46" s="5" t="s">
        <v>268</v>
      </c>
      <c r="E46" s="5" t="s">
        <v>269</v>
      </c>
      <c r="F46" s="8" t="s">
        <v>48</v>
      </c>
      <c r="G46" s="5" t="s">
        <v>270</v>
      </c>
      <c r="H46" s="5" t="s">
        <v>167</v>
      </c>
      <c r="I46" s="16" t="s">
        <v>168</v>
      </c>
    </row>
    <row r="47" customFormat="false" ht="72" hidden="false" customHeight="true" outlineLevel="0" collapsed="false">
      <c r="A47" s="22" t="s">
        <v>265</v>
      </c>
      <c r="B47" s="5" t="s">
        <v>271</v>
      </c>
      <c r="C47" s="5" t="s">
        <v>272</v>
      </c>
      <c r="D47" s="5" t="s">
        <v>273</v>
      </c>
      <c r="E47" s="5" t="s">
        <v>274</v>
      </c>
      <c r="F47" s="8" t="s">
        <v>48</v>
      </c>
      <c r="G47" s="5" t="s">
        <v>275</v>
      </c>
      <c r="H47" s="5" t="s">
        <v>276</v>
      </c>
      <c r="I47" s="13" t="s">
        <v>119</v>
      </c>
    </row>
    <row r="48" customFormat="false" ht="72" hidden="false" customHeight="true" outlineLevel="0" collapsed="false">
      <c r="A48" s="23" t="s">
        <v>277</v>
      </c>
      <c r="B48" s="5" t="s">
        <v>278</v>
      </c>
      <c r="C48" s="5" t="s">
        <v>279</v>
      </c>
      <c r="D48" s="5" t="s">
        <v>280</v>
      </c>
      <c r="E48" s="5" t="s">
        <v>281</v>
      </c>
      <c r="F48" s="8" t="s">
        <v>48</v>
      </c>
      <c r="G48" s="5" t="s">
        <v>282</v>
      </c>
      <c r="H48" s="5" t="s">
        <v>283</v>
      </c>
      <c r="I48" s="16" t="s">
        <v>168</v>
      </c>
    </row>
    <row r="50" customFormat="false" ht="15" hidden="false" customHeight="false" outlineLevel="0" collapsed="false">
      <c r="A50" s="24" t="s">
        <v>284</v>
      </c>
      <c r="B50" s="25" t="s">
        <v>19</v>
      </c>
      <c r="C50" s="26" t="s">
        <v>119</v>
      </c>
      <c r="D50" s="27" t="s">
        <v>168</v>
      </c>
    </row>
  </sheetData>
  <autoFilter ref="A4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38"/>
  </cols>
  <sheetData>
    <row r="1" customFormat="false" ht="19.7" hidden="false" customHeight="false" outlineLevel="0" collapsed="false">
      <c r="A1" s="1" t="s">
        <v>285</v>
      </c>
      <c r="B1" s="1"/>
      <c r="C1" s="1"/>
      <c r="D1" s="1"/>
      <c r="E1" s="1"/>
    </row>
    <row r="2" customFormat="false" ht="15" hidden="false" customHeight="false" outlineLevel="0" collapsed="false">
      <c r="A2" s="28" t="s">
        <v>286</v>
      </c>
      <c r="B2" s="28"/>
      <c r="C2" s="28"/>
      <c r="D2" s="28"/>
      <c r="E2" s="28"/>
    </row>
    <row r="4" customFormat="false" ht="15" hidden="false" customHeight="false" outlineLevel="0" collapsed="false">
      <c r="A4" s="3" t="s">
        <v>287</v>
      </c>
      <c r="B4" s="3" t="s">
        <v>288</v>
      </c>
      <c r="C4" s="3" t="s">
        <v>289</v>
      </c>
      <c r="D4" s="3" t="s">
        <v>290</v>
      </c>
      <c r="E4" s="3" t="s">
        <v>291</v>
      </c>
    </row>
    <row r="5" customFormat="false" ht="63.75" hidden="false" customHeight="true" outlineLevel="0" collapsed="false">
      <c r="A5" s="5" t="s">
        <v>292</v>
      </c>
      <c r="B5" s="5" t="s">
        <v>293</v>
      </c>
      <c r="C5" s="5" t="s">
        <v>294</v>
      </c>
      <c r="D5" s="7" t="s">
        <v>19</v>
      </c>
      <c r="E5" s="5" t="s">
        <v>295</v>
      </c>
    </row>
    <row r="6" customFormat="false" ht="63.75" hidden="false" customHeight="true" outlineLevel="0" collapsed="false">
      <c r="A6" s="5" t="s">
        <v>296</v>
      </c>
      <c r="B6" s="5" t="s">
        <v>297</v>
      </c>
      <c r="C6" s="5" t="s">
        <v>298</v>
      </c>
      <c r="D6" s="7" t="s">
        <v>19</v>
      </c>
      <c r="E6" s="5" t="s">
        <v>299</v>
      </c>
    </row>
    <row r="7" customFormat="false" ht="63.75" hidden="false" customHeight="true" outlineLevel="0" collapsed="false">
      <c r="A7" s="5" t="s">
        <v>300</v>
      </c>
      <c r="B7" s="5" t="s">
        <v>301</v>
      </c>
      <c r="C7" s="5" t="s">
        <v>302</v>
      </c>
      <c r="D7" s="7" t="s">
        <v>19</v>
      </c>
      <c r="E7" s="5" t="s">
        <v>303</v>
      </c>
    </row>
    <row r="8" customFormat="false" ht="63.75" hidden="false" customHeight="true" outlineLevel="0" collapsed="false">
      <c r="A8" s="5" t="s">
        <v>304</v>
      </c>
      <c r="B8" s="5" t="s">
        <v>305</v>
      </c>
      <c r="C8" s="5" t="s">
        <v>306</v>
      </c>
      <c r="D8" s="7" t="s">
        <v>19</v>
      </c>
      <c r="E8" s="5" t="s">
        <v>307</v>
      </c>
    </row>
    <row r="9" customFormat="false" ht="63.75" hidden="false" customHeight="true" outlineLevel="0" collapsed="false">
      <c r="A9" s="5" t="s">
        <v>308</v>
      </c>
      <c r="B9" s="5" t="s">
        <v>309</v>
      </c>
      <c r="C9" s="5" t="s">
        <v>310</v>
      </c>
      <c r="D9" s="13" t="s">
        <v>119</v>
      </c>
      <c r="E9" s="5" t="s">
        <v>311</v>
      </c>
    </row>
    <row r="10" customFormat="false" ht="63.75" hidden="false" customHeight="true" outlineLevel="0" collapsed="false">
      <c r="A10" s="5" t="s">
        <v>312</v>
      </c>
      <c r="B10" s="5" t="s">
        <v>313</v>
      </c>
      <c r="C10" s="5" t="s">
        <v>314</v>
      </c>
      <c r="D10" s="13" t="s">
        <v>119</v>
      </c>
      <c r="E10" s="5" t="s">
        <v>315</v>
      </c>
    </row>
    <row r="11" customFormat="false" ht="63.75" hidden="false" customHeight="true" outlineLevel="0" collapsed="false">
      <c r="A11" s="5" t="s">
        <v>316</v>
      </c>
      <c r="B11" s="5" t="s">
        <v>317</v>
      </c>
      <c r="C11" s="5" t="s">
        <v>318</v>
      </c>
      <c r="D11" s="13" t="s">
        <v>119</v>
      </c>
      <c r="E11" s="5" t="s">
        <v>319</v>
      </c>
    </row>
    <row r="12" customFormat="false" ht="63.75" hidden="false" customHeight="true" outlineLevel="0" collapsed="false">
      <c r="A12" s="5" t="s">
        <v>320</v>
      </c>
      <c r="B12" s="5" t="s">
        <v>321</v>
      </c>
      <c r="C12" s="5" t="s">
        <v>322</v>
      </c>
      <c r="D12" s="16" t="s">
        <v>168</v>
      </c>
      <c r="E12" s="5" t="s">
        <v>323</v>
      </c>
    </row>
    <row r="13" customFormat="false" ht="63.75" hidden="false" customHeight="true" outlineLevel="0" collapsed="false">
      <c r="A13" s="5" t="s">
        <v>324</v>
      </c>
      <c r="B13" s="5" t="s">
        <v>266</v>
      </c>
      <c r="C13" s="5" t="s">
        <v>325</v>
      </c>
      <c r="D13" s="16" t="s">
        <v>168</v>
      </c>
      <c r="E13" s="5" t="s">
        <v>326</v>
      </c>
    </row>
    <row r="14" customFormat="false" ht="63.75" hidden="false" customHeight="true" outlineLevel="0" collapsed="false">
      <c r="A14" s="5" t="s">
        <v>278</v>
      </c>
      <c r="B14" s="5" t="s">
        <v>327</v>
      </c>
      <c r="C14" s="5" t="s">
        <v>328</v>
      </c>
      <c r="D14" s="16" t="s">
        <v>168</v>
      </c>
      <c r="E14" s="5" t="s">
        <v>329</v>
      </c>
    </row>
    <row r="15" customFormat="false" ht="63.75" hidden="false" customHeight="true" outlineLevel="0" collapsed="false">
      <c r="A15" s="5" t="s">
        <v>330</v>
      </c>
      <c r="B15" s="5" t="s">
        <v>331</v>
      </c>
      <c r="C15" s="5" t="s">
        <v>332</v>
      </c>
      <c r="D15" s="16" t="s">
        <v>168</v>
      </c>
      <c r="E15" s="5" t="s">
        <v>333</v>
      </c>
    </row>
    <row r="16" customFormat="false" ht="63.75" hidden="false" customHeight="true" outlineLevel="0" collapsed="false">
      <c r="A16" s="5" t="s">
        <v>334</v>
      </c>
      <c r="B16" s="5" t="s">
        <v>335</v>
      </c>
      <c r="C16" s="5" t="s">
        <v>336</v>
      </c>
      <c r="D16" s="13" t="s">
        <v>119</v>
      </c>
      <c r="E16" s="5" t="s">
        <v>337</v>
      </c>
    </row>
    <row r="17" customFormat="false" ht="63.75" hidden="false" customHeight="true" outlineLevel="0" collapsed="false">
      <c r="A17" s="5" t="s">
        <v>338</v>
      </c>
      <c r="B17" s="5" t="s">
        <v>339</v>
      </c>
      <c r="C17" s="5" t="s">
        <v>340</v>
      </c>
      <c r="D17" s="13" t="s">
        <v>119</v>
      </c>
      <c r="E17" s="5" t="s">
        <v>341</v>
      </c>
    </row>
    <row r="18" customFormat="false" ht="63.75" hidden="false" customHeight="true" outlineLevel="0" collapsed="false">
      <c r="A18" s="5" t="s">
        <v>342</v>
      </c>
      <c r="B18" s="5" t="s">
        <v>343</v>
      </c>
      <c r="C18" s="5" t="s">
        <v>344</v>
      </c>
      <c r="D18" s="13" t="s">
        <v>119</v>
      </c>
      <c r="E18" s="5" t="s">
        <v>345</v>
      </c>
    </row>
  </sheetData>
  <autoFilter ref="A4:E18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346</v>
      </c>
      <c r="B1" s="1"/>
      <c r="C1" s="1"/>
    </row>
    <row r="3" customFormat="false" ht="15" hidden="false" customHeight="false" outlineLevel="0" collapsed="false">
      <c r="A3" s="29" t="s">
        <v>347</v>
      </c>
    </row>
    <row r="4" customFormat="false" ht="99.75" hidden="false" customHeight="true" outlineLevel="0" collapsed="false">
      <c r="A4" s="30" t="s">
        <v>348</v>
      </c>
      <c r="B4" s="30"/>
      <c r="C4" s="30"/>
    </row>
    <row r="5" customFormat="false" ht="90" hidden="false" customHeight="true" outlineLevel="0" collapsed="false">
      <c r="A5" s="30" t="s">
        <v>349</v>
      </c>
      <c r="B5" s="30"/>
      <c r="C5" s="30"/>
    </row>
    <row r="7" customFormat="false" ht="15" hidden="false" customHeight="false" outlineLevel="0" collapsed="false">
      <c r="A7" s="29" t="s">
        <v>350</v>
      </c>
    </row>
    <row r="8" customFormat="false" ht="15" hidden="false" customHeight="false" outlineLevel="0" collapsed="false">
      <c r="A8" s="3" t="s">
        <v>351</v>
      </c>
      <c r="B8" s="3" t="s">
        <v>352</v>
      </c>
      <c r="C8" s="3" t="s">
        <v>353</v>
      </c>
    </row>
    <row r="9" customFormat="false" ht="15" hidden="false" customHeight="false" outlineLevel="0" collapsed="false">
      <c r="A9" s="31" t="n">
        <v>1</v>
      </c>
      <c r="B9" s="5" t="s">
        <v>354</v>
      </c>
      <c r="C9" s="5" t="s">
        <v>355</v>
      </c>
    </row>
    <row r="10" customFormat="false" ht="15" hidden="false" customHeight="false" outlineLevel="0" collapsed="false">
      <c r="A10" s="31" t="n">
        <v>2</v>
      </c>
      <c r="B10" s="5" t="s">
        <v>356</v>
      </c>
      <c r="C10" s="5" t="s">
        <v>357</v>
      </c>
    </row>
    <row r="11" customFormat="false" ht="15" hidden="false" customHeight="false" outlineLevel="0" collapsed="false">
      <c r="A11" s="31" t="n">
        <v>3</v>
      </c>
      <c r="B11" s="5" t="s">
        <v>358</v>
      </c>
      <c r="C11" s="5" t="s">
        <v>359</v>
      </c>
    </row>
    <row r="12" customFormat="false" ht="15" hidden="false" customHeight="false" outlineLevel="0" collapsed="false">
      <c r="A12" s="31" t="n">
        <v>4</v>
      </c>
      <c r="B12" s="5" t="s">
        <v>360</v>
      </c>
      <c r="C12" s="5" t="s">
        <v>361</v>
      </c>
    </row>
    <row r="13" customFormat="false" ht="15" hidden="false" customHeight="false" outlineLevel="0" collapsed="false">
      <c r="A13" s="31" t="n">
        <v>5</v>
      </c>
      <c r="B13" s="5" t="s">
        <v>362</v>
      </c>
      <c r="C13" s="5" t="s">
        <v>363</v>
      </c>
    </row>
    <row r="14" customFormat="false" ht="15" hidden="false" customHeight="false" outlineLevel="0" collapsed="false">
      <c r="A14" s="31" t="n">
        <v>6</v>
      </c>
      <c r="B14" s="5" t="s">
        <v>364</v>
      </c>
      <c r="C14" s="5" t="s">
        <v>365</v>
      </c>
    </row>
    <row r="15" customFormat="false" ht="15" hidden="false" customHeight="false" outlineLevel="0" collapsed="false">
      <c r="A15" s="31" t="n">
        <v>7</v>
      </c>
      <c r="B15" s="5" t="s">
        <v>366</v>
      </c>
      <c r="C15" s="5" t="s">
        <v>367</v>
      </c>
    </row>
    <row r="16" customFormat="false" ht="15" hidden="false" customHeight="false" outlineLevel="0" collapsed="false">
      <c r="A16" s="31" t="n">
        <v>8</v>
      </c>
      <c r="B16" s="5" t="s">
        <v>368</v>
      </c>
      <c r="C16" s="5" t="s">
        <v>369</v>
      </c>
    </row>
    <row r="17" customFormat="false" ht="15" hidden="false" customHeight="false" outlineLevel="0" collapsed="false">
      <c r="A17" s="31" t="n">
        <v>9</v>
      </c>
      <c r="B17" s="5" t="s">
        <v>370</v>
      </c>
      <c r="C17" s="5" t="s">
        <v>371</v>
      </c>
    </row>
    <row r="18" customFormat="false" ht="15" hidden="false" customHeight="false" outlineLevel="0" collapsed="false">
      <c r="A18" s="31" t="n">
        <v>10</v>
      </c>
      <c r="B18" s="5" t="s">
        <v>372</v>
      </c>
      <c r="C18" s="5" t="s">
        <v>373</v>
      </c>
    </row>
    <row r="19" customFormat="false" ht="15" hidden="false" customHeight="false" outlineLevel="0" collapsed="false">
      <c r="A19" s="31" t="n">
        <v>11</v>
      </c>
      <c r="B19" s="5" t="s">
        <v>374</v>
      </c>
      <c r="C19" s="5" t="s">
        <v>375</v>
      </c>
    </row>
    <row r="20" customFormat="false" ht="15" hidden="false" customHeight="false" outlineLevel="0" collapsed="false">
      <c r="A20" s="31" t="n">
        <v>12</v>
      </c>
      <c r="B20" s="5" t="s">
        <v>376</v>
      </c>
      <c r="C20" s="5" t="s">
        <v>377</v>
      </c>
    </row>
    <row r="21" customFormat="false" ht="15" hidden="false" customHeight="false" outlineLevel="0" collapsed="false">
      <c r="A21" s="31" t="n">
        <v>13</v>
      </c>
      <c r="B21" s="5" t="s">
        <v>378</v>
      </c>
      <c r="C21" s="5" t="s">
        <v>379</v>
      </c>
    </row>
    <row r="22" customFormat="false" ht="15" hidden="false" customHeight="false" outlineLevel="0" collapsed="false">
      <c r="A22" s="31" t="n">
        <v>14</v>
      </c>
      <c r="B22" s="5" t="s">
        <v>380</v>
      </c>
      <c r="C22" s="5" t="s">
        <v>381</v>
      </c>
    </row>
    <row r="23" customFormat="false" ht="15" hidden="false" customHeight="false" outlineLevel="0" collapsed="false">
      <c r="A23" s="31" t="n">
        <v>15</v>
      </c>
      <c r="B23" s="5" t="s">
        <v>382</v>
      </c>
      <c r="C23" s="5" t="s">
        <v>383</v>
      </c>
    </row>
    <row r="24" customFormat="false" ht="15" hidden="false" customHeight="false" outlineLevel="0" collapsed="false">
      <c r="A24" s="31" t="n">
        <v>16</v>
      </c>
      <c r="B24" s="5" t="s">
        <v>384</v>
      </c>
      <c r="C24" s="5" t="s">
        <v>385</v>
      </c>
    </row>
    <row r="26" customFormat="false" ht="15" hidden="false" customHeight="false" outlineLevel="0" collapsed="false">
      <c r="A26" s="32" t="s">
        <v>386</v>
      </c>
      <c r="B26" s="32"/>
      <c r="C26" s="32"/>
    </row>
    <row r="27" customFormat="false" ht="79.5" hidden="false" customHeight="true" outlineLevel="0" collapsed="false">
      <c r="A27" s="30" t="s">
        <v>387</v>
      </c>
      <c r="B27" s="30"/>
      <c r="C27" s="30"/>
    </row>
  </sheetData>
  <mergeCells count="5">
    <mergeCell ref="A1:C1"/>
    <mergeCell ref="A4:C4"/>
    <mergeCell ref="A5:C5"/>
    <mergeCell ref="A26:C26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388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389</v>
      </c>
      <c r="B3" s="3" t="s">
        <v>390</v>
      </c>
      <c r="C3" s="3" t="s">
        <v>391</v>
      </c>
      <c r="D3" s="3" t="s">
        <v>392</v>
      </c>
      <c r="E3" s="3" t="s">
        <v>393</v>
      </c>
      <c r="F3" s="3" t="s">
        <v>290</v>
      </c>
    </row>
    <row r="4" customFormat="false" ht="60" hidden="false" customHeight="true" outlineLevel="0" collapsed="false">
      <c r="A4" s="5" t="s">
        <v>394</v>
      </c>
      <c r="B4" s="5" t="s">
        <v>395</v>
      </c>
      <c r="C4" s="5" t="s">
        <v>396</v>
      </c>
      <c r="D4" s="5" t="s">
        <v>397</v>
      </c>
      <c r="E4" s="5" t="s">
        <v>398</v>
      </c>
      <c r="F4" s="33" t="s">
        <v>399</v>
      </c>
    </row>
    <row r="5" customFormat="false" ht="60" hidden="false" customHeight="true" outlineLevel="0" collapsed="false">
      <c r="A5" s="5" t="s">
        <v>400</v>
      </c>
      <c r="B5" s="5" t="s">
        <v>401</v>
      </c>
      <c r="C5" s="5" t="s">
        <v>402</v>
      </c>
      <c r="D5" s="5" t="s">
        <v>403</v>
      </c>
      <c r="E5" s="5" t="s">
        <v>404</v>
      </c>
      <c r="F5" s="33" t="s">
        <v>399</v>
      </c>
    </row>
    <row r="6" customFormat="false" ht="60" hidden="false" customHeight="true" outlineLevel="0" collapsed="false">
      <c r="A6" s="5" t="s">
        <v>405</v>
      </c>
      <c r="B6" s="5" t="s">
        <v>406</v>
      </c>
      <c r="C6" s="5" t="s">
        <v>407</v>
      </c>
      <c r="D6" s="5" t="s">
        <v>408</v>
      </c>
      <c r="E6" s="5" t="s">
        <v>404</v>
      </c>
      <c r="F6" s="33" t="s">
        <v>399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34" t="s">
        <v>409</v>
      </c>
    </row>
    <row r="3" customFormat="false" ht="15" hidden="false" customHeight="false" outlineLevel="0" collapsed="false">
      <c r="A3" s="3" t="s">
        <v>290</v>
      </c>
      <c r="B3" s="3" t="s">
        <v>410</v>
      </c>
    </row>
    <row r="4" customFormat="false" ht="15" hidden="false" customHeight="false" outlineLevel="0" collapsed="false">
      <c r="A4" s="25" t="s">
        <v>19</v>
      </c>
      <c r="B4" s="35" t="n">
        <f aca="false">COUNTIF('Интерфейс и функции'!I5:I48,"Реализовано")</f>
        <v>34</v>
      </c>
    </row>
    <row r="5" customFormat="false" ht="15" hidden="false" customHeight="false" outlineLevel="0" collapsed="false">
      <c r="A5" s="26" t="s">
        <v>119</v>
      </c>
      <c r="B5" s="35" t="n">
        <f aca="false">COUNTIF('Интерфейс и функции'!I5:I48,"Частично")</f>
        <v>5</v>
      </c>
    </row>
    <row r="6" customFormat="false" ht="15" hidden="false" customHeight="false" outlineLevel="0" collapsed="false">
      <c r="A6" s="27" t="s">
        <v>168</v>
      </c>
      <c r="B6" s="35" t="n">
        <f aca="false">COUNTIF('Интерфейс и функции'!I5:I48,"Не реализовано")</f>
        <v>5</v>
      </c>
    </row>
    <row r="7" customFormat="false" ht="15" hidden="false" customHeight="false" outlineLevel="0" collapsed="false">
      <c r="A7" s="35" t="s">
        <v>411</v>
      </c>
      <c r="B7" s="35" t="n">
        <f aca="false">COUNTA('Интерфейс и функции'!B5:B48)</f>
        <v>44</v>
      </c>
    </row>
    <row r="9" customFormat="false" ht="15" hidden="false" customHeight="false" outlineLevel="0" collapsed="false">
      <c r="A9" s="35" t="s">
        <v>412</v>
      </c>
      <c r="B9" s="35" t="n">
        <f aca="false">COUNTIF('Интерфейс и функции'!F5:F48,"Высокий")</f>
        <v>21</v>
      </c>
    </row>
    <row r="10" customFormat="false" ht="15" hidden="false" customHeight="false" outlineLevel="0" collapsed="false">
      <c r="A10" s="35" t="s">
        <v>413</v>
      </c>
      <c r="B10" s="35" t="n">
        <f aca="false">COUNTIF('Интерфейс и функции'!F5:F48,"Средний")</f>
        <v>20</v>
      </c>
    </row>
    <row r="11" customFormat="false" ht="15" hidden="false" customHeight="false" outlineLevel="0" collapsed="false">
      <c r="A11" s="35" t="s">
        <v>414</v>
      </c>
      <c r="B11" s="35" t="n">
        <f aca="false">COUNTIF('Интерфейс и функции'!F5:F48,"Низкий")</f>
        <v>3</v>
      </c>
    </row>
    <row r="13" customFormat="false" ht="15" hidden="false" customHeight="false" outlineLevel="0" collapsed="false">
      <c r="A13" s="29" t="s">
        <v>415</v>
      </c>
    </row>
    <row r="14" customFormat="false" ht="25.5" hidden="false" customHeight="true" outlineLevel="0" collapsed="false">
      <c r="A14" s="36" t="s">
        <v>416</v>
      </c>
      <c r="B14" s="36"/>
    </row>
    <row r="15" customFormat="false" ht="25.5" hidden="false" customHeight="true" outlineLevel="0" collapsed="false">
      <c r="A15" s="36" t="s">
        <v>417</v>
      </c>
      <c r="B15" s="36"/>
    </row>
    <row r="16" customFormat="false" ht="25.5" hidden="false" customHeight="true" outlineLevel="0" collapsed="false">
      <c r="A16" s="36" t="s">
        <v>418</v>
      </c>
      <c r="B16" s="36"/>
    </row>
    <row r="17" customFormat="false" ht="25.5" hidden="false" customHeight="true" outlineLevel="0" collapsed="false">
      <c r="A17" s="36" t="s">
        <v>419</v>
      </c>
      <c r="B17" s="36"/>
    </row>
    <row r="18" customFormat="false" ht="25.5" hidden="false" customHeight="true" outlineLevel="0" collapsed="false">
      <c r="A18" s="36" t="s">
        <v>420</v>
      </c>
      <c r="B18" s="36"/>
    </row>
    <row r="19" customFormat="false" ht="25.5" hidden="false" customHeight="true" outlineLevel="0" collapsed="false">
      <c r="A19" s="36" t="s">
        <v>421</v>
      </c>
      <c r="B19" s="36"/>
    </row>
  </sheetData>
  <mergeCells count="6">
    <mergeCell ref="A14:B14"/>
    <mergeCell ref="A15:B15"/>
    <mergeCell ref="A16:B16"/>
    <mergeCell ref="A17:B17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2026-07-16T08:09:20Z</dcterms:created>
  <dc:creator>openpyxl</dc:creator>
  <dc:description/>
  <dc:language>en-US</dc:language>
  <cp:lastModifiedBy/>
  <dcterms:modified xsi:type="dcterms:W3CDTF">2026-07-16T08:09:20Z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